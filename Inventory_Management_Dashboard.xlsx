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ayal\ItVedand\"/>
    </mc:Choice>
  </mc:AlternateContent>
  <xr:revisionPtr revIDLastSave="0" documentId="13_ncr:1_{F720396B-9D73-46F5-999E-8725CEFB080E}" xr6:coauthVersionLast="47" xr6:coauthVersionMax="47" xr10:uidLastSave="{00000000-0000-0000-0000-000000000000}"/>
  <bookViews>
    <workbookView xWindow="-108" yWindow="-108" windowWidth="23256" windowHeight="12456" activeTab="4" xr2:uid="{8B944628-B2D2-476E-8BC6-0126A7E9A5B6}"/>
  </bookViews>
  <sheets>
    <sheet name="Inventory" sheetId="1" r:id="rId1"/>
    <sheet name="Sales" sheetId="2" r:id="rId2"/>
    <sheet name="Purchase" sheetId="3" r:id="rId3"/>
    <sheet name="Calculations" sheetId="6" r:id="rId4"/>
    <sheet name="Dashboard" sheetId="7" r:id="rId5"/>
  </sheets>
  <definedNames>
    <definedName name="Slicer_Category1">#N/A</definedName>
    <definedName name="Slicer_ItemName">#N/A</definedName>
    <definedName name="Slicer_Supplier">#N/A</definedName>
  </definedNames>
  <calcPr calcId="191029"/>
  <pivotCaches>
    <pivotCache cacheId="2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6" l="1"/>
  <c r="G4" i="6"/>
  <c r="G5" i="6"/>
  <c r="G6" i="6"/>
  <c r="G7" i="6"/>
  <c r="G8" i="6"/>
  <c r="G9" i="6"/>
  <c r="G10" i="6"/>
  <c r="G11" i="6"/>
  <c r="G12" i="6"/>
  <c r="G13" i="6"/>
  <c r="G14" i="6"/>
  <c r="G15" i="6"/>
  <c r="G2" i="6"/>
  <c r="J3" i="6"/>
  <c r="J4" i="6"/>
  <c r="J5" i="6"/>
  <c r="J6" i="6"/>
  <c r="J7" i="6"/>
  <c r="J8" i="6"/>
  <c r="J9" i="6"/>
  <c r="J10" i="6"/>
  <c r="J11" i="6"/>
  <c r="J12" i="6"/>
  <c r="J13" i="6"/>
  <c r="J14" i="6"/>
  <c r="J15" i="6"/>
  <c r="J2" i="6"/>
  <c r="H3" i="6"/>
  <c r="H4" i="6"/>
  <c r="H5" i="6"/>
  <c r="H6" i="6"/>
  <c r="H7" i="6"/>
  <c r="H8" i="6"/>
  <c r="H9" i="6"/>
  <c r="H10" i="6"/>
  <c r="H11" i="6"/>
  <c r="H12" i="6"/>
  <c r="H13" i="6"/>
  <c r="H14" i="6"/>
  <c r="H15" i="6"/>
  <c r="H2" i="6"/>
  <c r="F3" i="6"/>
  <c r="F4" i="6"/>
  <c r="F5" i="6"/>
  <c r="F6" i="6"/>
  <c r="F7" i="6"/>
  <c r="F8" i="6"/>
  <c r="F9" i="6"/>
  <c r="F10" i="6"/>
  <c r="F11" i="6"/>
  <c r="F12" i="6"/>
  <c r="F13" i="6"/>
  <c r="F14" i="6"/>
  <c r="F15" i="6"/>
  <c r="F2" i="6"/>
  <c r="E3" i="6"/>
  <c r="E4" i="6"/>
  <c r="E5" i="6"/>
  <c r="E6" i="6"/>
  <c r="E7" i="6"/>
  <c r="E8" i="6"/>
  <c r="E9" i="6"/>
  <c r="E10" i="6"/>
  <c r="E11" i="6"/>
  <c r="E12" i="6"/>
  <c r="E13" i="6"/>
  <c r="E14" i="6"/>
  <c r="E15" i="6"/>
  <c r="E2" i="6"/>
  <c r="D4" i="6"/>
  <c r="K4" i="6" s="1"/>
  <c r="D5" i="6"/>
  <c r="K5" i="6" s="1"/>
  <c r="D6" i="6"/>
  <c r="I6" i="6" s="1"/>
  <c r="D7" i="6"/>
  <c r="K7" i="6" s="1"/>
  <c r="D12" i="6"/>
  <c r="K12" i="6" s="1"/>
  <c r="D13" i="6"/>
  <c r="K13" i="6" s="1"/>
  <c r="D14" i="6"/>
  <c r="I14" i="6" s="1"/>
  <c r="D15" i="6"/>
  <c r="I15" i="6" s="1"/>
  <c r="C3" i="6"/>
  <c r="C4" i="6"/>
  <c r="C5" i="6"/>
  <c r="C6" i="6"/>
  <c r="C7" i="6"/>
  <c r="C8" i="6"/>
  <c r="C9" i="6"/>
  <c r="C10" i="6"/>
  <c r="C11" i="6"/>
  <c r="C12" i="6"/>
  <c r="C13" i="6"/>
  <c r="C14" i="6"/>
  <c r="C15" i="6"/>
  <c r="C2" i="6"/>
  <c r="B3" i="6"/>
  <c r="D3" i="6" s="1"/>
  <c r="B4" i="6"/>
  <c r="B5" i="6"/>
  <c r="B6" i="6"/>
  <c r="B7" i="6"/>
  <c r="B8" i="6"/>
  <c r="D8" i="6" s="1"/>
  <c r="B9" i="6"/>
  <c r="D9" i="6" s="1"/>
  <c r="B10" i="6"/>
  <c r="D10" i="6" s="1"/>
  <c r="B11" i="6"/>
  <c r="D11" i="6" s="1"/>
  <c r="B12" i="6"/>
  <c r="B13" i="6"/>
  <c r="B14" i="6"/>
  <c r="B15" i="6"/>
  <c r="B2" i="6"/>
  <c r="D2" i="6" s="1"/>
  <c r="N3" i="6"/>
  <c r="N1" i="6"/>
  <c r="N2" i="6"/>
  <c r="N4" i="6"/>
  <c r="I11" i="6" l="1"/>
  <c r="K11" i="6"/>
  <c r="I3" i="6"/>
  <c r="K3" i="6"/>
  <c r="K10" i="6"/>
  <c r="I10" i="6"/>
  <c r="I9" i="6"/>
  <c r="K9" i="6"/>
  <c r="I2" i="6"/>
  <c r="K2" i="6"/>
  <c r="I8" i="6"/>
  <c r="K8" i="6"/>
  <c r="I13" i="6"/>
  <c r="I5" i="6"/>
  <c r="K15" i="6"/>
  <c r="K14" i="6"/>
  <c r="K6" i="6"/>
  <c r="I7" i="6"/>
  <c r="I12" i="6"/>
  <c r="I4" i="6"/>
  <c r="L18" i="6" l="1"/>
</calcChain>
</file>

<file path=xl/sharedStrings.xml><?xml version="1.0" encoding="utf-8"?>
<sst xmlns="http://schemas.openxmlformats.org/spreadsheetml/2006/main" count="227" uniqueCount="74">
  <si>
    <t>Item_ID</t>
  </si>
  <si>
    <t>Item_Name</t>
  </si>
  <si>
    <t>Category</t>
  </si>
  <si>
    <t>Supplier</t>
  </si>
  <si>
    <t>Reorder_Level</t>
  </si>
  <si>
    <t>Unit_Cost</t>
  </si>
  <si>
    <t>I001</t>
  </si>
  <si>
    <t>Mouse</t>
  </si>
  <si>
    <t>Electronics</t>
  </si>
  <si>
    <t>I002</t>
  </si>
  <si>
    <t>Keyboard</t>
  </si>
  <si>
    <t>HP</t>
  </si>
  <si>
    <t>Purchase_Date</t>
  </si>
  <si>
    <t>Quantity_Purchased</t>
  </si>
  <si>
    <t>Sale_Date</t>
  </si>
  <si>
    <t>Quantity_Sold</t>
  </si>
  <si>
    <t>I003</t>
  </si>
  <si>
    <t>Monitor 22"</t>
  </si>
  <si>
    <t>Samsung</t>
  </si>
  <si>
    <t>I004</t>
  </si>
  <si>
    <t>Monitor 24"</t>
  </si>
  <si>
    <t>LG</t>
  </si>
  <si>
    <t>I005</t>
  </si>
  <si>
    <t>Laptop Bag</t>
  </si>
  <si>
    <t>Accessories</t>
  </si>
  <si>
    <t>Targus</t>
  </si>
  <si>
    <t>I006</t>
  </si>
  <si>
    <t>USB Cable</t>
  </si>
  <si>
    <t>I007</t>
  </si>
  <si>
    <t>HDMI Cable</t>
  </si>
  <si>
    <t>I008</t>
  </si>
  <si>
    <t>Webcam</t>
  </si>
  <si>
    <t>Logitech</t>
  </si>
  <si>
    <t>I009</t>
  </si>
  <si>
    <t>Headphones</t>
  </si>
  <si>
    <t>Sony</t>
  </si>
  <si>
    <t>I010</t>
  </si>
  <si>
    <t>Speakers</t>
  </si>
  <si>
    <t>I011</t>
  </si>
  <si>
    <t>Printer</t>
  </si>
  <si>
    <t>I012</t>
  </si>
  <si>
    <t>Scanner</t>
  </si>
  <si>
    <t>Canon</t>
  </si>
  <si>
    <t>I013</t>
  </si>
  <si>
    <t>External HDD 1TB</t>
  </si>
  <si>
    <t>Storage</t>
  </si>
  <si>
    <t>Seagate</t>
  </si>
  <si>
    <t>I014</t>
  </si>
  <si>
    <t>External HDD 2TB</t>
  </si>
  <si>
    <t>WD</t>
  </si>
  <si>
    <t>I015</t>
  </si>
  <si>
    <t>Row Labels</t>
  </si>
  <si>
    <t>Grand Total</t>
  </si>
  <si>
    <t>Current Stock</t>
  </si>
  <si>
    <t>Reorder Level</t>
  </si>
  <si>
    <t>LowStockStatus</t>
  </si>
  <si>
    <t>ReorderLevel</t>
  </si>
  <si>
    <t>ItemName</t>
  </si>
  <si>
    <t>CurrentStock</t>
  </si>
  <si>
    <t>TotalPurchased_perItem</t>
  </si>
  <si>
    <t>TotalSold_perItem</t>
  </si>
  <si>
    <t>UnitCost</t>
  </si>
  <si>
    <t>StockValue</t>
  </si>
  <si>
    <t>TotalItem</t>
  </si>
  <si>
    <t>TotalStockQty</t>
  </si>
  <si>
    <t>Total Inventory Value</t>
  </si>
  <si>
    <t>Low Stock Item Count</t>
  </si>
  <si>
    <t>Sum of CurrentStock</t>
  </si>
  <si>
    <t>LOW STOCK</t>
  </si>
  <si>
    <t>Total Purchase</t>
  </si>
  <si>
    <t>Total Sales</t>
  </si>
  <si>
    <t>Total Stock</t>
  </si>
  <si>
    <t>Count of LowStockStatus</t>
  </si>
  <si>
    <t>Count of ItemName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</si>
</sst>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s>
  <borders count="2">
    <border>
      <left/>
      <right/>
      <top/>
      <bottom/>
      <diagonal/>
    </border>
    <border>
      <left style="thin">
        <color theme="6" tint="0.39997558519241921"/>
      </left>
      <right/>
      <top style="thin">
        <color theme="6" tint="0.39997558519241921"/>
      </top>
      <bottom style="thin">
        <color theme="6" tint="0.39997558519241921"/>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pivotButton="1"/>
    <xf numFmtId="0" fontId="0" fillId="0" borderId="0" xfId="0" applyAlignment="1">
      <alignment horizontal="left"/>
    </xf>
    <xf numFmtId="0" fontId="2" fillId="2" borderId="1" xfId="0" applyFont="1" applyFill="1" applyBorder="1" applyAlignment="1">
      <alignment horizontal="center" vertical="center" wrapText="1"/>
    </xf>
    <xf numFmtId="0" fontId="0" fillId="3"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164" fontId="0" fillId="0" borderId="0" xfId="0" applyNumberFormat="1"/>
    <xf numFmtId="0" fontId="0" fillId="0" borderId="0" xfId="0" applyNumberFormat="1"/>
  </cellXfs>
  <cellStyles count="1">
    <cellStyle name="Normal" xfId="0" builtinId="0"/>
  </cellStyles>
  <dxfs count="47">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alignment horizontal="general" vertical="center" textRotation="0" wrapText="1" indent="0" justifyLastLine="0" shrinkToFit="0" readingOrder="0"/>
    </dxf>
    <dxf>
      <alignment horizontal="left" vertical="center" textRotation="0" wrapText="1" indent="0" justifyLastLine="0" shrinkToFit="0" readingOrder="0"/>
    </dxf>
    <dxf>
      <numFmt numFmtId="19" formatCode="dd/mm/yyyy"/>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3D1CE4"/>
      <color rgb="FF2A4982"/>
      <color rgb="FF1807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[Inventory_Management_Dashboard.xlsx]Calculations!Stock_by_Category</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Calculations!$B$38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F6-4826-8E01-8798A371CB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F6-4826-8E01-8798A371CB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F6-4826-8E01-8798A371CB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Calculations!$A$39:$A$42</c:f>
              <c:strCache>
                <c:ptCount val="3"/>
                <c:pt idx="0">
                  <c:v>Accessories</c:v>
                </c:pt>
                <c:pt idx="1">
                  <c:v>Electronics</c:v>
                </c:pt>
                <c:pt idx="2">
                  <c:v>Storage</c:v>
                </c:pt>
              </c:strCache>
            </c:strRef>
          </c:cat>
          <c:val>
            <c:numRef>
              <c:f>Calculations!$B$39:$B$42</c:f>
              <c:numCache>
                <c:formatCode>General</c:formatCode>
                <c:ptCount val="3"/>
                <c:pt idx="0">
                  <c:v>144</c:v>
                </c:pt>
                <c:pt idx="1">
                  <c:v>129</c:v>
                </c:pt>
                <c:pt idx="2">
                  <c:v>14</c:v>
                </c:pt>
              </c:numCache>
            </c:numRef>
          </c:val>
          <c:extLst>
            <c:ext xmlns:c16="http://schemas.microsoft.com/office/drawing/2014/chart" uri="{C3380CC4-5D6E-409C-BE32-E72D297353CC}">
              <c16:uniqueId val="{00000006-37F6-4826-8E01-8798A371CB8A}"/>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[Inventory_Management_Dashboard.xlsx]Calculations!Current_Stock_Item</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Calculations!$B$18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Calculations!$A$19:$A$33</c:f>
              <c:strCache>
                <c:ptCount val="14"/>
                <c:pt idx="0">
                  <c:v>External HDD 1TB</c:v>
                </c:pt>
                <c:pt idx="1">
                  <c:v>External HDD 2TB</c:v>
                </c:pt>
                <c:pt idx="2">
                  <c:v>HDMI Cable</c:v>
                </c:pt>
                <c:pt idx="3">
                  <c:v>Headphones</c:v>
                </c:pt>
                <c:pt idx="4">
                  <c:v>Keyboard</c:v>
                </c:pt>
                <c:pt idx="5">
                  <c:v>Laptop Bag</c:v>
                </c:pt>
                <c:pt idx="6">
                  <c:v>Monitor 22"</c:v>
                </c:pt>
                <c:pt idx="7">
                  <c:v>Monitor 24"</c:v>
                </c:pt>
                <c:pt idx="8">
                  <c:v>Mouse</c:v>
                </c:pt>
                <c:pt idx="9">
                  <c:v>Printer</c:v>
                </c:pt>
                <c:pt idx="10">
                  <c:v>Scanner</c:v>
                </c:pt>
                <c:pt idx="11">
                  <c:v>Speakers</c:v>
                </c:pt>
                <c:pt idx="12">
                  <c:v>USB Cable</c:v>
                </c:pt>
                <c:pt idx="13">
                  <c:v>Webcam</c:v>
                </c:pt>
              </c:strCache>
            </c:strRef>
          </c:cat>
          <c:val>
            <c:numRef>
              <c:f>Calculations!$B$19:$B$33</c:f>
              <c:numCache>
                <c:formatCode>General</c:formatCode>
                <c:ptCount val="14"/>
                <c:pt idx="0">
                  <c:v>14</c:v>
                </c:pt>
                <c:pt idx="1">
                  <c:v>0</c:v>
                </c:pt>
                <c:pt idx="2">
                  <c:v>42</c:v>
                </c:pt>
                <c:pt idx="3">
                  <c:v>25</c:v>
                </c:pt>
                <c:pt idx="4">
                  <c:v>8</c:v>
                </c:pt>
                <c:pt idx="5">
                  <c:v>58</c:v>
                </c:pt>
                <c:pt idx="6">
                  <c:v>30</c:v>
                </c:pt>
                <c:pt idx="7">
                  <c:v>10</c:v>
                </c:pt>
                <c:pt idx="8">
                  <c:v>3</c:v>
                </c:pt>
                <c:pt idx="9">
                  <c:v>23</c:v>
                </c:pt>
                <c:pt idx="10">
                  <c:v>0</c:v>
                </c:pt>
                <c:pt idx="11">
                  <c:v>21</c:v>
                </c:pt>
                <c:pt idx="12">
                  <c:v>44</c:v>
                </c:pt>
                <c:pt idx="13">
                  <c:v>9</c:v>
                </c:pt>
              </c:numCache>
            </c:numRef>
          </c:val>
          <c:extLst>
            <c:ext xmlns:c16="http://schemas.microsoft.com/office/drawing/2014/chart" uri="{C3380CC4-5D6E-409C-BE32-E72D297353CC}">
              <c16:uniqueId val="{00000000-FC29-4F38-A89F-231CE27FD58D}"/>
            </c:ext>
          </c:extLst>
        </c:ser>
        <c:dLbls>
          <c:showLegendKey val="0"/>
          <c:showVal val="1"/>
          <c:showCatName val="0"/>
          <c:showSerName val="0"/>
          <c:showPercent val="0"/>
          <c:showBubbleSize val="0"/>
        </c:dLbls>
        <c:gapWidth val="75"/>
        <c:shape val="box"/>
        <c:axId val="1885255424"/>
        <c:axId val="1885255904"/>
        <c:axId val="0"/>
      </c:bar3DChart>
      <c:catAx>
        <c:axId val="188525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255904"/>
        <c:crosses val="autoZero"/>
        <c:auto val="1"/>
        <c:lblAlgn val="ctr"/>
        <c:lblOffset val="100"/>
        <c:noMultiLvlLbl val="0"/>
      </c:catAx>
      <c:valAx>
        <c:axId val="1885255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[Inventory_Management_Dashboard.xlsx]Calculations!PurchaseVsSales</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Calculations!$E$18</c:f>
              <c:strCache>
                <c:ptCount val="1"/>
                <c:pt idx="0">
                  <c:v>Total Purchase</c:v>
                </c:pt>
              </c:strCache>
            </c:strRef>
          </c:tx>
          <c:spPr>
            <a:solidFill>
              <a:schemeClr val="accent1"/>
            </a:solidFill>
            <a:ln>
              <a:noFill/>
            </a:ln>
            <a:effectLst/>
            <a:sp3d/>
          </c:spPr>
          <c:invertIfNegative val="0"/>
          <c:cat>
            <c:strRef>
              <c:f>Calculations!$D$19:$D$33</c:f>
              <c:strCache>
                <c:ptCount val="14"/>
                <c:pt idx="0">
                  <c:v>External HDD 1TB</c:v>
                </c:pt>
                <c:pt idx="1">
                  <c:v>External HDD 2TB</c:v>
                </c:pt>
                <c:pt idx="2">
                  <c:v>HDMI Cable</c:v>
                </c:pt>
                <c:pt idx="3">
                  <c:v>Headphones</c:v>
                </c:pt>
                <c:pt idx="4">
                  <c:v>Keyboard</c:v>
                </c:pt>
                <c:pt idx="5">
                  <c:v>Laptop Bag</c:v>
                </c:pt>
                <c:pt idx="6">
                  <c:v>Monitor 22"</c:v>
                </c:pt>
                <c:pt idx="7">
                  <c:v>Monitor 24"</c:v>
                </c:pt>
                <c:pt idx="8">
                  <c:v>Mouse</c:v>
                </c:pt>
                <c:pt idx="9">
                  <c:v>Printer</c:v>
                </c:pt>
                <c:pt idx="10">
                  <c:v>Scanner</c:v>
                </c:pt>
                <c:pt idx="11">
                  <c:v>Speakers</c:v>
                </c:pt>
                <c:pt idx="12">
                  <c:v>USB Cable</c:v>
                </c:pt>
                <c:pt idx="13">
                  <c:v>Webcam</c:v>
                </c:pt>
              </c:strCache>
            </c:strRef>
          </c:cat>
          <c:val>
            <c:numRef>
              <c:f>Calculations!$E$19:$E$33</c:f>
              <c:numCache>
                <c:formatCode>General</c:formatCode>
                <c:ptCount val="14"/>
                <c:pt idx="0">
                  <c:v>20</c:v>
                </c:pt>
                <c:pt idx="1">
                  <c:v>0</c:v>
                </c:pt>
                <c:pt idx="2">
                  <c:v>60</c:v>
                </c:pt>
                <c:pt idx="3">
                  <c:v>32</c:v>
                </c:pt>
                <c:pt idx="4">
                  <c:v>50</c:v>
                </c:pt>
                <c:pt idx="5">
                  <c:v>82</c:v>
                </c:pt>
                <c:pt idx="6">
                  <c:v>60</c:v>
                </c:pt>
                <c:pt idx="7">
                  <c:v>20</c:v>
                </c:pt>
                <c:pt idx="8">
                  <c:v>75</c:v>
                </c:pt>
                <c:pt idx="9">
                  <c:v>80</c:v>
                </c:pt>
                <c:pt idx="10">
                  <c:v>1</c:v>
                </c:pt>
                <c:pt idx="11">
                  <c:v>40</c:v>
                </c:pt>
                <c:pt idx="12">
                  <c:v>100</c:v>
                </c:pt>
                <c:pt idx="13">
                  <c:v>15</c:v>
                </c:pt>
              </c:numCache>
            </c:numRef>
          </c:val>
          <c:extLst>
            <c:ext xmlns:c16="http://schemas.microsoft.com/office/drawing/2014/chart" uri="{C3380CC4-5D6E-409C-BE32-E72D297353CC}">
              <c16:uniqueId val="{00000000-00B8-4AA3-8963-553D979BBA78}"/>
            </c:ext>
          </c:extLst>
        </c:ser>
        <c:ser>
          <c:idx val="1"/>
          <c:order val="1"/>
          <c:tx>
            <c:strRef>
              <c:f>Calculations!$F$18</c:f>
              <c:strCache>
                <c:ptCount val="1"/>
                <c:pt idx="0">
                  <c:v>Total Sales</c:v>
                </c:pt>
              </c:strCache>
            </c:strRef>
          </c:tx>
          <c:spPr>
            <a:solidFill>
              <a:schemeClr val="accent2"/>
            </a:solidFill>
            <a:ln>
              <a:noFill/>
            </a:ln>
            <a:effectLst/>
            <a:sp3d/>
          </c:spPr>
          <c:invertIfNegative val="0"/>
          <c:cat>
            <c:strRef>
              <c:f>Calculations!$D$19:$D$33</c:f>
              <c:strCache>
                <c:ptCount val="14"/>
                <c:pt idx="0">
                  <c:v>External HDD 1TB</c:v>
                </c:pt>
                <c:pt idx="1">
                  <c:v>External HDD 2TB</c:v>
                </c:pt>
                <c:pt idx="2">
                  <c:v>HDMI Cable</c:v>
                </c:pt>
                <c:pt idx="3">
                  <c:v>Headphones</c:v>
                </c:pt>
                <c:pt idx="4">
                  <c:v>Keyboard</c:v>
                </c:pt>
                <c:pt idx="5">
                  <c:v>Laptop Bag</c:v>
                </c:pt>
                <c:pt idx="6">
                  <c:v>Monitor 22"</c:v>
                </c:pt>
                <c:pt idx="7">
                  <c:v>Monitor 24"</c:v>
                </c:pt>
                <c:pt idx="8">
                  <c:v>Mouse</c:v>
                </c:pt>
                <c:pt idx="9">
                  <c:v>Printer</c:v>
                </c:pt>
                <c:pt idx="10">
                  <c:v>Scanner</c:v>
                </c:pt>
                <c:pt idx="11">
                  <c:v>Speakers</c:v>
                </c:pt>
                <c:pt idx="12">
                  <c:v>USB Cable</c:v>
                </c:pt>
                <c:pt idx="13">
                  <c:v>Webcam</c:v>
                </c:pt>
              </c:strCache>
            </c:strRef>
          </c:cat>
          <c:val>
            <c:numRef>
              <c:f>Calculations!$F$19:$F$33</c:f>
              <c:numCache>
                <c:formatCode>General</c:formatCode>
                <c:ptCount val="14"/>
                <c:pt idx="0">
                  <c:v>6</c:v>
                </c:pt>
                <c:pt idx="1">
                  <c:v>0</c:v>
                </c:pt>
                <c:pt idx="2">
                  <c:v>18</c:v>
                </c:pt>
                <c:pt idx="3">
                  <c:v>7</c:v>
                </c:pt>
                <c:pt idx="4">
                  <c:v>42</c:v>
                </c:pt>
                <c:pt idx="5">
                  <c:v>24</c:v>
                </c:pt>
                <c:pt idx="6">
                  <c:v>30</c:v>
                </c:pt>
                <c:pt idx="7">
                  <c:v>10</c:v>
                </c:pt>
                <c:pt idx="8">
                  <c:v>72</c:v>
                </c:pt>
                <c:pt idx="9">
                  <c:v>57</c:v>
                </c:pt>
                <c:pt idx="10">
                  <c:v>1</c:v>
                </c:pt>
                <c:pt idx="11">
                  <c:v>19</c:v>
                </c:pt>
                <c:pt idx="12">
                  <c:v>56</c:v>
                </c:pt>
                <c:pt idx="13">
                  <c:v>6</c:v>
                </c:pt>
              </c:numCache>
            </c:numRef>
          </c:val>
          <c:extLst>
            <c:ext xmlns:c16="http://schemas.microsoft.com/office/drawing/2014/chart" uri="{C3380CC4-5D6E-409C-BE32-E72D297353CC}">
              <c16:uniqueId val="{00000001-00B8-4AA3-8963-553D979BBA78}"/>
            </c:ext>
          </c:extLst>
        </c:ser>
        <c:dLbls>
          <c:showLegendKey val="0"/>
          <c:showVal val="0"/>
          <c:showCatName val="0"/>
          <c:showSerName val="0"/>
          <c:showPercent val="0"/>
          <c:showBubbleSize val="0"/>
        </c:dLbls>
        <c:gapWidth val="150"/>
        <c:shape val="box"/>
        <c:axId val="1873457264"/>
        <c:axId val="1873464944"/>
        <c:axId val="0"/>
      </c:bar3DChart>
      <c:catAx>
        <c:axId val="187345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464944"/>
        <c:crosses val="autoZero"/>
        <c:auto val="1"/>
        <c:lblAlgn val="ctr"/>
        <c:lblOffset val="100"/>
        <c:noMultiLvlLbl val="0"/>
      </c:catAx>
      <c:valAx>
        <c:axId val="187346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45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27</xdr:row>
      <xdr:rowOff>0</xdr:rowOff>
    </xdr:from>
    <xdr:to>
      <xdr:col>8</xdr:col>
      <xdr:colOff>984421</xdr:colOff>
      <xdr:row>33</xdr:row>
      <xdr:rowOff>83408</xdr:rowOff>
    </xdr:to>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533C3174-324B-4724-9929-43508CDC91B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797040" y="4937760"/>
              <a:ext cx="1822621" cy="1180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364901</xdr:colOff>
      <xdr:row>0</xdr:row>
      <xdr:rowOff>42930</xdr:rowOff>
    </xdr:from>
    <xdr:to>
      <xdr:col>18</xdr:col>
      <xdr:colOff>171718</xdr:colOff>
      <xdr:row>39</xdr:row>
      <xdr:rowOff>139522</xdr:rowOff>
    </xdr:to>
    <xdr:sp macro="" textlink="">
      <xdr:nvSpPr>
        <xdr:cNvPr id="2" name="Rectangle 1">
          <a:extLst>
            <a:ext uri="{FF2B5EF4-FFF2-40B4-BE49-F238E27FC236}">
              <a16:creationId xmlns:a16="http://schemas.microsoft.com/office/drawing/2014/main" id="{FF56B53D-661B-C26E-B043-77619265A316}"/>
            </a:ext>
          </a:extLst>
        </xdr:cNvPr>
        <xdr:cNvSpPr/>
      </xdr:nvSpPr>
      <xdr:spPr>
        <a:xfrm>
          <a:off x="364901" y="42930"/>
          <a:ext cx="10818254" cy="7212169"/>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548640</xdr:colOff>
      <xdr:row>0</xdr:row>
      <xdr:rowOff>137160</xdr:rowOff>
    </xdr:from>
    <xdr:to>
      <xdr:col>18</xdr:col>
      <xdr:colOff>91440</xdr:colOff>
      <xdr:row>4</xdr:row>
      <xdr:rowOff>15240</xdr:rowOff>
    </xdr:to>
    <xdr:sp macro="" textlink="">
      <xdr:nvSpPr>
        <xdr:cNvPr id="3" name="Rectangle: Rounded Corners 2">
          <a:extLst>
            <a:ext uri="{FF2B5EF4-FFF2-40B4-BE49-F238E27FC236}">
              <a16:creationId xmlns:a16="http://schemas.microsoft.com/office/drawing/2014/main" id="{EC7560F6-35AF-4C54-D45E-4D4F5B62FF8A}"/>
            </a:ext>
          </a:extLst>
        </xdr:cNvPr>
        <xdr:cNvSpPr/>
      </xdr:nvSpPr>
      <xdr:spPr>
        <a:xfrm>
          <a:off x="548640" y="137160"/>
          <a:ext cx="10515600" cy="609600"/>
        </a:xfrm>
        <a:prstGeom prst="roundRect">
          <a:avLst>
            <a:gd name="adj" fmla="val 14612"/>
          </a:avLst>
        </a:prstGeom>
        <a:gradFill flip="none" rotWithShape="1">
          <a:gsLst>
            <a:gs pos="13000">
              <a:schemeClr val="accent1">
                <a:lumMod val="50000"/>
              </a:schemeClr>
            </a:gs>
            <a:gs pos="40000">
              <a:schemeClr val="accent1">
                <a:lumMod val="75000"/>
              </a:schemeClr>
            </a:gs>
            <a:gs pos="77000">
              <a:schemeClr val="accent1">
                <a:lumMod val="60000"/>
                <a:lumOff val="40000"/>
              </a:schemeClr>
            </a:gs>
            <a:gs pos="100000">
              <a:schemeClr val="accent1">
                <a:lumMod val="40000"/>
                <a:lumOff val="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Inventory Management</a:t>
          </a:r>
          <a:r>
            <a:rPr lang="en-IN" sz="2800" baseline="0"/>
            <a:t> Tracker</a:t>
          </a:r>
          <a:endParaRPr lang="en-IN" sz="1400"/>
        </a:p>
      </xdr:txBody>
    </xdr:sp>
    <xdr:clientData/>
  </xdr:twoCellAnchor>
  <xdr:twoCellAnchor>
    <xdr:from>
      <xdr:col>1</xdr:col>
      <xdr:colOff>86612</xdr:colOff>
      <xdr:row>4</xdr:row>
      <xdr:rowOff>85863</xdr:rowOff>
    </xdr:from>
    <xdr:to>
      <xdr:col>3</xdr:col>
      <xdr:colOff>338072</xdr:colOff>
      <xdr:row>10</xdr:row>
      <xdr:rowOff>55812</xdr:rowOff>
    </xdr:to>
    <xdr:sp macro="" textlink="">
      <xdr:nvSpPr>
        <xdr:cNvPr id="4" name="Rectangle: Rounded Corners 3">
          <a:extLst>
            <a:ext uri="{FF2B5EF4-FFF2-40B4-BE49-F238E27FC236}">
              <a16:creationId xmlns:a16="http://schemas.microsoft.com/office/drawing/2014/main" id="{07E56E5F-EAB6-4FCD-9FAE-BE8FADC40549}"/>
            </a:ext>
          </a:extLst>
        </xdr:cNvPr>
        <xdr:cNvSpPr/>
      </xdr:nvSpPr>
      <xdr:spPr>
        <a:xfrm>
          <a:off x="698358" y="815666"/>
          <a:ext cx="1474953" cy="1064653"/>
        </a:xfrm>
        <a:prstGeom prst="roundRect">
          <a:avLst>
            <a:gd name="adj" fmla="val 14612"/>
          </a:avLst>
        </a:prstGeom>
        <a:gradFill flip="none" rotWithShape="1">
          <a:gsLst>
            <a:gs pos="13000">
              <a:schemeClr val="accent1">
                <a:lumMod val="50000"/>
              </a:schemeClr>
            </a:gs>
            <a:gs pos="40000">
              <a:schemeClr val="accent1">
                <a:lumMod val="75000"/>
              </a:schemeClr>
            </a:gs>
            <a:gs pos="77000">
              <a:schemeClr val="accent1">
                <a:lumMod val="60000"/>
                <a:lumOff val="40000"/>
              </a:schemeClr>
            </a:gs>
            <a:gs pos="100000">
              <a:schemeClr val="accent1">
                <a:lumMod val="40000"/>
                <a:lumOff val="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Baskerville Old Face" panose="02020602080505020303" pitchFamily="18" charset="0"/>
            </a:rPr>
            <a:t>Total</a:t>
          </a:r>
          <a:r>
            <a:rPr lang="en-IN" sz="1400" baseline="0">
              <a:latin typeface="Baskerville Old Face" panose="02020602080505020303" pitchFamily="18" charset="0"/>
            </a:rPr>
            <a:t> Item</a:t>
          </a:r>
          <a:endParaRPr lang="en-IN" sz="1400">
            <a:latin typeface="Baskerville Old Face" panose="02020602080505020303" pitchFamily="18" charset="0"/>
          </a:endParaRPr>
        </a:p>
      </xdr:txBody>
    </xdr:sp>
    <xdr:clientData/>
  </xdr:twoCellAnchor>
  <xdr:twoCellAnchor>
    <xdr:from>
      <xdr:col>10</xdr:col>
      <xdr:colOff>18031</xdr:colOff>
      <xdr:row>4</xdr:row>
      <xdr:rowOff>93483</xdr:rowOff>
    </xdr:from>
    <xdr:to>
      <xdr:col>13</xdr:col>
      <xdr:colOff>475232</xdr:colOff>
      <xdr:row>10</xdr:row>
      <xdr:rowOff>108723</xdr:rowOff>
    </xdr:to>
    <xdr:sp macro="" textlink="">
      <xdr:nvSpPr>
        <xdr:cNvPr id="10" name="Rectangle: Rounded Corners 9">
          <a:extLst>
            <a:ext uri="{FF2B5EF4-FFF2-40B4-BE49-F238E27FC236}">
              <a16:creationId xmlns:a16="http://schemas.microsoft.com/office/drawing/2014/main" id="{F5D65691-2F6A-43E8-982E-420AF11E212C}"/>
            </a:ext>
          </a:extLst>
        </xdr:cNvPr>
        <xdr:cNvSpPr/>
      </xdr:nvSpPr>
      <xdr:spPr>
        <a:xfrm>
          <a:off x="6135496" y="823286"/>
          <a:ext cx="2292440" cy="1109944"/>
        </a:xfrm>
        <a:prstGeom prst="roundRect">
          <a:avLst>
            <a:gd name="adj" fmla="val 14612"/>
          </a:avLst>
        </a:prstGeom>
        <a:gradFill flip="none" rotWithShape="1">
          <a:gsLst>
            <a:gs pos="13000">
              <a:schemeClr val="accent1">
                <a:lumMod val="50000"/>
              </a:schemeClr>
            </a:gs>
            <a:gs pos="40000">
              <a:schemeClr val="accent1">
                <a:lumMod val="75000"/>
              </a:schemeClr>
            </a:gs>
            <a:gs pos="77000">
              <a:schemeClr val="accent1">
                <a:lumMod val="60000"/>
                <a:lumOff val="40000"/>
              </a:schemeClr>
            </a:gs>
            <a:gs pos="100000">
              <a:schemeClr val="accent1">
                <a:lumMod val="40000"/>
                <a:lumOff val="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chemeClr val="lt1"/>
              </a:solidFill>
              <a:latin typeface="Baskerville Old Face" panose="02020602080505020303" pitchFamily="18" charset="0"/>
              <a:ea typeface="+mn-ea"/>
              <a:cs typeface="+mn-cs"/>
            </a:rPr>
            <a:t>Total Inventory Value</a:t>
          </a:r>
        </a:p>
      </xdr:txBody>
    </xdr:sp>
    <xdr:clientData/>
  </xdr:twoCellAnchor>
  <xdr:oneCellAnchor>
    <xdr:from>
      <xdr:col>1</xdr:col>
      <xdr:colOff>452372</xdr:colOff>
      <xdr:row>6</xdr:row>
      <xdr:rowOff>67900</xdr:rowOff>
    </xdr:from>
    <xdr:ext cx="685800" cy="677430"/>
    <xdr:sp macro="" textlink="Calculations!N1">
      <xdr:nvSpPr>
        <xdr:cNvPr id="12" name="TextBox 11">
          <a:extLst>
            <a:ext uri="{FF2B5EF4-FFF2-40B4-BE49-F238E27FC236}">
              <a16:creationId xmlns:a16="http://schemas.microsoft.com/office/drawing/2014/main" id="{E9EC605C-2DEB-7963-9ECD-47D3D0298611}"/>
            </a:ext>
          </a:extLst>
        </xdr:cNvPr>
        <xdr:cNvSpPr txBox="1"/>
      </xdr:nvSpPr>
      <xdr:spPr>
        <a:xfrm>
          <a:off x="1064118" y="1162604"/>
          <a:ext cx="685800" cy="677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37E85CCC-A42E-4071-BE5A-44F0041037BB}" type="TxLink">
            <a:rPr lang="en-US" sz="4000" b="0" i="0" u="none" strike="noStrike">
              <a:solidFill>
                <a:schemeClr val="bg1"/>
              </a:solidFill>
              <a:latin typeface="Baskerville Old Face" panose="02020602080505020303" pitchFamily="18" charset="0"/>
              <a:ea typeface="Calibri"/>
              <a:cs typeface="Calibri"/>
            </a:rPr>
            <a:pPr marL="0" indent="0"/>
            <a:t>14</a:t>
          </a:fld>
          <a:endParaRPr lang="en-IN" sz="4000" b="0" i="0" u="none" strike="noStrike">
            <a:solidFill>
              <a:schemeClr val="bg1"/>
            </a:solidFill>
            <a:latin typeface="Baskerville Old Face" panose="02020602080505020303" pitchFamily="18" charset="0"/>
            <a:ea typeface="Calibri"/>
            <a:cs typeface="Calibri"/>
          </a:endParaRPr>
        </a:p>
      </xdr:txBody>
    </xdr:sp>
    <xdr:clientData/>
  </xdr:oneCellAnchor>
  <xdr:twoCellAnchor>
    <xdr:from>
      <xdr:col>3</xdr:col>
      <xdr:colOff>591678</xdr:colOff>
      <xdr:row>4</xdr:row>
      <xdr:rowOff>93483</xdr:rowOff>
    </xdr:from>
    <xdr:to>
      <xdr:col>6</xdr:col>
      <xdr:colOff>353312</xdr:colOff>
      <xdr:row>10</xdr:row>
      <xdr:rowOff>78672</xdr:rowOff>
    </xdr:to>
    <xdr:sp macro="" textlink="">
      <xdr:nvSpPr>
        <xdr:cNvPr id="15" name="Rectangle: Rounded Corners 14">
          <a:extLst>
            <a:ext uri="{FF2B5EF4-FFF2-40B4-BE49-F238E27FC236}">
              <a16:creationId xmlns:a16="http://schemas.microsoft.com/office/drawing/2014/main" id="{61911B20-9FB7-4D8D-B3A0-C52ACDA012A2}"/>
            </a:ext>
          </a:extLst>
        </xdr:cNvPr>
        <xdr:cNvSpPr/>
      </xdr:nvSpPr>
      <xdr:spPr>
        <a:xfrm>
          <a:off x="2426917" y="823286"/>
          <a:ext cx="1596874" cy="1079893"/>
        </a:xfrm>
        <a:prstGeom prst="roundRect">
          <a:avLst>
            <a:gd name="adj" fmla="val 14612"/>
          </a:avLst>
        </a:prstGeom>
        <a:gradFill flip="none" rotWithShape="1">
          <a:gsLst>
            <a:gs pos="13000">
              <a:schemeClr val="accent1">
                <a:lumMod val="50000"/>
              </a:schemeClr>
            </a:gs>
            <a:gs pos="40000">
              <a:schemeClr val="accent1">
                <a:lumMod val="75000"/>
              </a:schemeClr>
            </a:gs>
            <a:gs pos="77000">
              <a:schemeClr val="accent1">
                <a:lumMod val="60000"/>
                <a:lumOff val="40000"/>
              </a:schemeClr>
            </a:gs>
            <a:gs pos="100000">
              <a:schemeClr val="accent1">
                <a:lumMod val="40000"/>
                <a:lumOff val="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Baskerville Old Face" panose="02020602080505020303" pitchFamily="18" charset="0"/>
            </a:rPr>
            <a:t>Total</a:t>
          </a:r>
          <a:r>
            <a:rPr lang="en-IN" sz="1400" baseline="0">
              <a:latin typeface="Baskerville Old Face" panose="02020602080505020303" pitchFamily="18" charset="0"/>
            </a:rPr>
            <a:t> Stock Qty</a:t>
          </a:r>
          <a:endParaRPr lang="en-IN" sz="1400">
            <a:latin typeface="Baskerville Old Face" panose="02020602080505020303" pitchFamily="18" charset="0"/>
          </a:endParaRPr>
        </a:p>
      </xdr:txBody>
    </xdr:sp>
    <xdr:clientData/>
  </xdr:twoCellAnchor>
  <xdr:oneCellAnchor>
    <xdr:from>
      <xdr:col>4</xdr:col>
      <xdr:colOff>307592</xdr:colOff>
      <xdr:row>6</xdr:row>
      <xdr:rowOff>97951</xdr:rowOff>
    </xdr:from>
    <xdr:ext cx="990600" cy="677430"/>
    <xdr:sp macro="" textlink="Calculations!N2">
      <xdr:nvSpPr>
        <xdr:cNvPr id="16" name="TextBox 15">
          <a:extLst>
            <a:ext uri="{FF2B5EF4-FFF2-40B4-BE49-F238E27FC236}">
              <a16:creationId xmlns:a16="http://schemas.microsoft.com/office/drawing/2014/main" id="{B443B309-5F19-4540-ABED-0BB9DAC1D950}"/>
            </a:ext>
          </a:extLst>
        </xdr:cNvPr>
        <xdr:cNvSpPr txBox="1"/>
      </xdr:nvSpPr>
      <xdr:spPr>
        <a:xfrm>
          <a:off x="2754578" y="1192655"/>
          <a:ext cx="990600" cy="677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79FC81F-B14C-490B-886E-531917D504E2}" type="TxLink">
            <a:rPr lang="en-US" sz="4000" b="0" i="0" u="none" strike="noStrike">
              <a:solidFill>
                <a:schemeClr val="bg1"/>
              </a:solidFill>
              <a:latin typeface="Baskerville Old Face" panose="02020602080505020303" pitchFamily="18" charset="0"/>
              <a:ea typeface="Calibri"/>
              <a:cs typeface="Calibri"/>
            </a:rPr>
            <a:pPr marL="0" indent="0"/>
            <a:t>287</a:t>
          </a:fld>
          <a:endParaRPr lang="en-IN" sz="4000" b="0" i="0" u="none" strike="noStrike">
            <a:solidFill>
              <a:schemeClr val="bg1"/>
            </a:solidFill>
            <a:latin typeface="Baskerville Old Face" panose="02020602080505020303" pitchFamily="18" charset="0"/>
            <a:ea typeface="Calibri"/>
            <a:cs typeface="Calibri"/>
          </a:endParaRPr>
        </a:p>
      </xdr:txBody>
    </xdr:sp>
    <xdr:clientData/>
  </xdr:oneCellAnchor>
  <xdr:oneCellAnchor>
    <xdr:from>
      <xdr:col>10</xdr:col>
      <xdr:colOff>78992</xdr:colOff>
      <xdr:row>6</xdr:row>
      <xdr:rowOff>139203</xdr:rowOff>
    </xdr:from>
    <xdr:ext cx="2217420" cy="581826"/>
    <xdr:sp macro="" textlink="Calculations!N3">
      <xdr:nvSpPr>
        <xdr:cNvPr id="17" name="TextBox 16">
          <a:extLst>
            <a:ext uri="{FF2B5EF4-FFF2-40B4-BE49-F238E27FC236}">
              <a16:creationId xmlns:a16="http://schemas.microsoft.com/office/drawing/2014/main" id="{19C54E24-0383-248E-29C2-C65881DBEE1C}"/>
            </a:ext>
          </a:extLst>
        </xdr:cNvPr>
        <xdr:cNvSpPr txBox="1"/>
      </xdr:nvSpPr>
      <xdr:spPr>
        <a:xfrm>
          <a:off x="6196457" y="1233907"/>
          <a:ext cx="2217420" cy="581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22426659-4DA0-4F08-BFE6-A2744E90F04A}" type="TxLink">
            <a:rPr lang="en-US" sz="3200" b="0" i="0" u="none" strike="noStrike">
              <a:solidFill>
                <a:schemeClr val="bg1"/>
              </a:solidFill>
              <a:latin typeface="Baskerville Old Face" panose="02020602080505020303" pitchFamily="18" charset="0"/>
              <a:ea typeface="Calibri"/>
              <a:cs typeface="Calibri"/>
            </a:rPr>
            <a:pPr marL="0" indent="0"/>
            <a:t>₹ 11,57,300</a:t>
          </a:fld>
          <a:endParaRPr lang="en-IN" sz="3200" b="0" i="0" u="none" strike="noStrike">
            <a:solidFill>
              <a:schemeClr val="bg1"/>
            </a:solidFill>
            <a:latin typeface="Baskerville Old Face" panose="02020602080505020303" pitchFamily="18" charset="0"/>
            <a:ea typeface="Calibri"/>
            <a:cs typeface="Calibri"/>
          </a:endParaRPr>
        </a:p>
      </xdr:txBody>
    </xdr:sp>
    <xdr:clientData/>
  </xdr:oneCellAnchor>
  <xdr:twoCellAnchor>
    <xdr:from>
      <xdr:col>6</xdr:col>
      <xdr:colOff>599298</xdr:colOff>
      <xdr:row>4</xdr:row>
      <xdr:rowOff>71052</xdr:rowOff>
    </xdr:from>
    <xdr:to>
      <xdr:col>9</xdr:col>
      <xdr:colOff>353313</xdr:colOff>
      <xdr:row>10</xdr:row>
      <xdr:rowOff>101103</xdr:rowOff>
    </xdr:to>
    <xdr:sp macro="" textlink="">
      <xdr:nvSpPr>
        <xdr:cNvPr id="22" name="Rectangle: Rounded Corners 21">
          <a:extLst>
            <a:ext uri="{FF2B5EF4-FFF2-40B4-BE49-F238E27FC236}">
              <a16:creationId xmlns:a16="http://schemas.microsoft.com/office/drawing/2014/main" id="{7C784032-A7E2-4ADE-AD61-F6CB77C42169}"/>
            </a:ext>
          </a:extLst>
        </xdr:cNvPr>
        <xdr:cNvSpPr/>
      </xdr:nvSpPr>
      <xdr:spPr>
        <a:xfrm>
          <a:off x="4269777" y="800855"/>
          <a:ext cx="1589254" cy="1124755"/>
        </a:xfrm>
        <a:prstGeom prst="roundRect">
          <a:avLst>
            <a:gd name="adj" fmla="val 14612"/>
          </a:avLst>
        </a:prstGeom>
        <a:gradFill flip="none" rotWithShape="1">
          <a:gsLst>
            <a:gs pos="13000">
              <a:schemeClr val="accent1">
                <a:lumMod val="50000"/>
              </a:schemeClr>
            </a:gs>
            <a:gs pos="40000">
              <a:schemeClr val="accent1">
                <a:lumMod val="75000"/>
              </a:schemeClr>
            </a:gs>
            <a:gs pos="77000">
              <a:schemeClr val="accent1">
                <a:lumMod val="60000"/>
                <a:lumOff val="40000"/>
              </a:schemeClr>
            </a:gs>
            <a:gs pos="100000">
              <a:schemeClr val="accent1">
                <a:lumMod val="40000"/>
                <a:lumOff val="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chemeClr val="lt1"/>
              </a:solidFill>
              <a:latin typeface="Baskerville Old Face" panose="02020602080505020303" pitchFamily="18" charset="0"/>
              <a:ea typeface="+mn-ea"/>
              <a:cs typeface="+mn-cs"/>
            </a:rPr>
            <a:t>Low Stock Item Count</a:t>
          </a:r>
        </a:p>
      </xdr:txBody>
    </xdr:sp>
    <xdr:clientData/>
  </xdr:twoCellAnchor>
  <xdr:oneCellAnchor>
    <xdr:from>
      <xdr:col>7</xdr:col>
      <xdr:colOff>599300</xdr:colOff>
      <xdr:row>7</xdr:row>
      <xdr:rowOff>17712</xdr:rowOff>
    </xdr:from>
    <xdr:ext cx="822960" cy="677430"/>
    <xdr:sp macro="" textlink="Calculations!N4">
      <xdr:nvSpPr>
        <xdr:cNvPr id="23" name="TextBox 22">
          <a:extLst>
            <a:ext uri="{FF2B5EF4-FFF2-40B4-BE49-F238E27FC236}">
              <a16:creationId xmlns:a16="http://schemas.microsoft.com/office/drawing/2014/main" id="{2BD83645-FD3A-4873-9154-72BE11D1DD9A}"/>
            </a:ext>
          </a:extLst>
        </xdr:cNvPr>
        <xdr:cNvSpPr txBox="1"/>
      </xdr:nvSpPr>
      <xdr:spPr>
        <a:xfrm>
          <a:off x="4881525" y="1294867"/>
          <a:ext cx="822960" cy="677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0BAFABA-2994-443A-8C5C-835CBCC0E0CE}" type="TxLink">
            <a:rPr lang="en-US" sz="4000" b="0" i="0" u="none" strike="noStrike">
              <a:solidFill>
                <a:schemeClr val="bg1"/>
              </a:solidFill>
              <a:latin typeface="Baskerville Old Face" panose="02020602080505020303" pitchFamily="18" charset="0"/>
              <a:ea typeface="Calibri"/>
              <a:cs typeface="Calibri"/>
            </a:rPr>
            <a:pPr marL="0" indent="0"/>
            <a:t>7</a:t>
          </a:fld>
          <a:endParaRPr lang="en-IN" sz="4000" b="0" i="0" u="none" strike="noStrike">
            <a:solidFill>
              <a:schemeClr val="bg1"/>
            </a:solidFill>
            <a:latin typeface="Baskerville Old Face" panose="02020602080505020303" pitchFamily="18" charset="0"/>
            <a:ea typeface="Calibri"/>
            <a:cs typeface="Calibri"/>
          </a:endParaRPr>
        </a:p>
      </xdr:txBody>
    </xdr:sp>
    <xdr:clientData/>
  </xdr:oneCellAnchor>
  <xdr:twoCellAnchor>
    <xdr:from>
      <xdr:col>10</xdr:col>
      <xdr:colOff>129379</xdr:colOff>
      <xdr:row>11</xdr:row>
      <xdr:rowOff>92238</xdr:rowOff>
    </xdr:from>
    <xdr:to>
      <xdr:col>14</xdr:col>
      <xdr:colOff>493689</xdr:colOff>
      <xdr:row>24</xdr:row>
      <xdr:rowOff>139517</xdr:rowOff>
    </xdr:to>
    <xdr:graphicFrame macro="">
      <xdr:nvGraphicFramePr>
        <xdr:cNvPr id="25" name="Chart 24">
          <a:extLst>
            <a:ext uri="{FF2B5EF4-FFF2-40B4-BE49-F238E27FC236}">
              <a16:creationId xmlns:a16="http://schemas.microsoft.com/office/drawing/2014/main" id="{9EE14140-AADC-432F-AD4E-FEB2F37FA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322993</xdr:colOff>
      <xdr:row>10</xdr:row>
      <xdr:rowOff>157503</xdr:rowOff>
    </xdr:from>
    <xdr:to>
      <xdr:col>10</xdr:col>
      <xdr:colOff>104073</xdr:colOff>
      <xdr:row>25</xdr:row>
      <xdr:rowOff>13152</xdr:rowOff>
    </xdr:to>
    <xdr:graphicFrame macro="">
      <xdr:nvGraphicFramePr>
        <xdr:cNvPr id="24" name="Chart 23">
          <a:extLst>
            <a:ext uri="{FF2B5EF4-FFF2-40B4-BE49-F238E27FC236}">
              <a16:creationId xmlns:a16="http://schemas.microsoft.com/office/drawing/2014/main" id="{984C2C5E-BA86-4315-A660-22C587F24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533511</xdr:colOff>
      <xdr:row>24</xdr:row>
      <xdr:rowOff>160673</xdr:rowOff>
    </xdr:from>
    <xdr:to>
      <xdr:col>14</xdr:col>
      <xdr:colOff>409444</xdr:colOff>
      <xdr:row>39</xdr:row>
      <xdr:rowOff>54423</xdr:rowOff>
    </xdr:to>
    <xdr:graphicFrame macro="">
      <xdr:nvGraphicFramePr>
        <xdr:cNvPr id="26" name="Chart 25">
          <a:extLst>
            <a:ext uri="{FF2B5EF4-FFF2-40B4-BE49-F238E27FC236}">
              <a16:creationId xmlns:a16="http://schemas.microsoft.com/office/drawing/2014/main" id="{32AF0665-7FB3-4CBA-B45A-38BC944F2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535460</xdr:colOff>
      <xdr:row>4</xdr:row>
      <xdr:rowOff>92676</xdr:rowOff>
    </xdr:from>
    <xdr:to>
      <xdr:col>17</xdr:col>
      <xdr:colOff>541639</xdr:colOff>
      <xdr:row>22</xdr:row>
      <xdr:rowOff>139521</xdr:rowOff>
    </xdr:to>
    <mc:AlternateContent xmlns:mc="http://schemas.openxmlformats.org/markup-compatibility/2006" xmlns:a14="http://schemas.microsoft.com/office/drawing/2010/main">
      <mc:Choice Requires="a14">
        <xdr:graphicFrame macro="">
          <xdr:nvGraphicFramePr>
            <xdr:cNvPr id="5" name="Supplier">
              <a:extLst>
                <a:ext uri="{FF2B5EF4-FFF2-40B4-BE49-F238E27FC236}">
                  <a16:creationId xmlns:a16="http://schemas.microsoft.com/office/drawing/2014/main" id="{CE60203A-5B70-46AF-90AB-FB0E3759CA5A}"/>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9099911" y="822479"/>
              <a:ext cx="1841418" cy="3330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510653</xdr:colOff>
      <xdr:row>23</xdr:row>
      <xdr:rowOff>31987</xdr:rowOff>
    </xdr:from>
    <xdr:to>
      <xdr:col>17</xdr:col>
      <xdr:colOff>568414</xdr:colOff>
      <xdr:row>31</xdr:row>
      <xdr:rowOff>21465</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C6E3FB12-4163-468A-8B10-F2FFE125C07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075104" y="4228353"/>
              <a:ext cx="1893000" cy="1449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532554</xdr:colOff>
      <xdr:row>10</xdr:row>
      <xdr:rowOff>165611</xdr:rowOff>
    </xdr:from>
    <xdr:to>
      <xdr:col>3</xdr:col>
      <xdr:colOff>532553</xdr:colOff>
      <xdr:row>34</xdr:row>
      <xdr:rowOff>139524</xdr:rowOff>
    </xdr:to>
    <mc:AlternateContent xmlns:mc="http://schemas.openxmlformats.org/markup-compatibility/2006">
      <mc:Choice xmlns:a14="http://schemas.microsoft.com/office/drawing/2010/main" Requires="a14">
        <xdr:graphicFrame macro="">
          <xdr:nvGraphicFramePr>
            <xdr:cNvPr id="20" name="ItemName">
              <a:extLst>
                <a:ext uri="{FF2B5EF4-FFF2-40B4-BE49-F238E27FC236}">
                  <a16:creationId xmlns:a16="http://schemas.microsoft.com/office/drawing/2014/main" id="{8E075904-4272-47D6-A631-27AF1436EE87}"/>
                </a:ext>
              </a:extLst>
            </xdr:cNvPr>
            <xdr:cNvGraphicFramePr/>
          </xdr:nvGraphicFramePr>
          <xdr:xfrm>
            <a:off x="0" y="0"/>
            <a:ext cx="0" cy="0"/>
          </xdr:xfrm>
          <a:graphic>
            <a:graphicData uri="http://schemas.microsoft.com/office/drawing/2010/slicer">
              <sle:slicer xmlns:sle="http://schemas.microsoft.com/office/drawing/2010/slicer" name="ItemName"/>
            </a:graphicData>
          </a:graphic>
        </xdr:graphicFrame>
      </mc:Choice>
      <mc:Fallback>
        <xdr:sp macro="" textlink="">
          <xdr:nvSpPr>
            <xdr:cNvPr id="0" name=""/>
            <xdr:cNvSpPr>
              <a:spLocks noTextEdit="1"/>
            </xdr:cNvSpPr>
          </xdr:nvSpPr>
          <xdr:spPr>
            <a:xfrm>
              <a:off x="532554" y="2010453"/>
              <a:ext cx="1828799" cy="4401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yal" refreshedDate="46018.453169444445" createdVersion="8" refreshedVersion="8" minRefreshableVersion="3" recordCount="14" xr:uid="{219395F5-30F7-41BE-9EE7-714612DD6DAE}">
  <cacheSource type="worksheet">
    <worksheetSource ref="A1:K15" sheet="Calculations"/>
  </cacheSource>
  <cacheFields count="11">
    <cacheField name="Item_ID" numFmtId="0">
      <sharedItems/>
    </cacheField>
    <cacheField name="TotalPurchased_perItem" numFmtId="0">
      <sharedItems containsSemiMixedTypes="0" containsString="0" containsNumber="1" containsInteger="1" minValue="0" maxValue="100"/>
    </cacheField>
    <cacheField name="TotalSold_perItem" numFmtId="0">
      <sharedItems containsSemiMixedTypes="0" containsString="0" containsNumber="1" containsInteger="1" minValue="0" maxValue="72"/>
    </cacheField>
    <cacheField name="CurrentStock" numFmtId="0">
      <sharedItems containsSemiMixedTypes="0" containsString="0" containsNumber="1" containsInteger="1" minValue="0" maxValue="58"/>
    </cacheField>
    <cacheField name="ItemName" numFmtId="0">
      <sharedItems count="14">
        <s v="Mouse"/>
        <s v="Keyboard"/>
        <s v="Monitor 22&quot;"/>
        <s v="Monitor 24&quot;"/>
        <s v="Laptop Bag"/>
        <s v="USB Cable"/>
        <s v="HDMI Cable"/>
        <s v="Webcam"/>
        <s v="Headphones"/>
        <s v="Speakers"/>
        <s v="Printer"/>
        <s v="Scanner"/>
        <s v="External HDD 1TB"/>
        <s v="External HDD 2TB"/>
      </sharedItems>
    </cacheField>
    <cacheField name="Category" numFmtId="0">
      <sharedItems count="3">
        <s v="Electronics"/>
        <s v="Accessories"/>
        <s v="Storage"/>
      </sharedItems>
    </cacheField>
    <cacheField name="Supplier" numFmtId="0">
      <sharedItems count="9">
        <s v="HP"/>
        <s v="Samsung"/>
        <s v="LG"/>
        <s v="Targus"/>
        <s v="Sony"/>
        <s v="Logitech"/>
        <s v="Canon"/>
        <s v="Seagate"/>
        <s v="WD"/>
      </sharedItems>
    </cacheField>
    <cacheField name="ReorderLevel" numFmtId="0">
      <sharedItems containsSemiMixedTypes="0" containsString="0" containsNumber="1" containsInteger="1" minValue="6" maxValue="50"/>
    </cacheField>
    <cacheField name="LowStockStatus" numFmtId="0">
      <sharedItems count="2">
        <s v="LOW STOCK"/>
        <s v="OK"/>
      </sharedItems>
    </cacheField>
    <cacheField name="UnitCost" numFmtId="0">
      <sharedItems containsSemiMixedTypes="0" containsString="0" containsNumber="1" containsInteger="1" minValue="250" maxValue="15000"/>
    </cacheField>
    <cacheField name="StockValue" numFmtId="0">
      <sharedItems containsSemiMixedTypes="0" containsString="0" containsNumber="1" containsInteger="1" minValue="0" maxValue="345000"/>
    </cacheField>
  </cacheFields>
  <extLst>
    <ext xmlns:x14="http://schemas.microsoft.com/office/spreadsheetml/2009/9/main" uri="{725AE2AE-9491-48be-B2B4-4EB974FC3084}">
      <x14:pivotCacheDefinition pivotCacheId="691725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I001"/>
    <n v="75"/>
    <n v="72"/>
    <n v="3"/>
    <x v="0"/>
    <x v="0"/>
    <x v="0"/>
    <n v="15"/>
    <x v="0"/>
    <n v="500"/>
    <n v="1500"/>
  </r>
  <r>
    <s v="I002"/>
    <n v="50"/>
    <n v="42"/>
    <n v="8"/>
    <x v="1"/>
    <x v="0"/>
    <x v="0"/>
    <n v="15"/>
    <x v="0"/>
    <n v="700"/>
    <n v="5600"/>
  </r>
  <r>
    <s v="I003"/>
    <n v="60"/>
    <n v="30"/>
    <n v="30"/>
    <x v="2"/>
    <x v="0"/>
    <x v="1"/>
    <n v="10"/>
    <x v="1"/>
    <n v="8500"/>
    <n v="255000"/>
  </r>
  <r>
    <s v="I004"/>
    <n v="20"/>
    <n v="10"/>
    <n v="10"/>
    <x v="3"/>
    <x v="0"/>
    <x v="2"/>
    <n v="10"/>
    <x v="0"/>
    <n v="11000"/>
    <n v="110000"/>
  </r>
  <r>
    <s v="I005"/>
    <n v="82"/>
    <n v="24"/>
    <n v="58"/>
    <x v="4"/>
    <x v="1"/>
    <x v="3"/>
    <n v="25"/>
    <x v="1"/>
    <n v="1200"/>
    <n v="69600"/>
  </r>
  <r>
    <s v="I006"/>
    <n v="100"/>
    <n v="56"/>
    <n v="44"/>
    <x v="5"/>
    <x v="1"/>
    <x v="4"/>
    <n v="50"/>
    <x v="0"/>
    <n v="250"/>
    <n v="11000"/>
  </r>
  <r>
    <s v="I007"/>
    <n v="60"/>
    <n v="18"/>
    <n v="42"/>
    <x v="6"/>
    <x v="1"/>
    <x v="4"/>
    <n v="40"/>
    <x v="1"/>
    <n v="400"/>
    <n v="16800"/>
  </r>
  <r>
    <s v="I008"/>
    <n v="15"/>
    <n v="6"/>
    <n v="9"/>
    <x v="7"/>
    <x v="0"/>
    <x v="5"/>
    <n v="10"/>
    <x v="0"/>
    <n v="3500"/>
    <n v="31500"/>
  </r>
  <r>
    <s v="I009"/>
    <n v="32"/>
    <n v="7"/>
    <n v="25"/>
    <x v="8"/>
    <x v="0"/>
    <x v="4"/>
    <n v="15"/>
    <x v="1"/>
    <n v="4500"/>
    <n v="112500"/>
  </r>
  <r>
    <s v="I010"/>
    <n v="40"/>
    <n v="19"/>
    <n v="21"/>
    <x v="9"/>
    <x v="0"/>
    <x v="4"/>
    <n v="10"/>
    <x v="1"/>
    <n v="6000"/>
    <n v="126000"/>
  </r>
  <r>
    <s v="I011"/>
    <n v="80"/>
    <n v="57"/>
    <n v="23"/>
    <x v="10"/>
    <x v="0"/>
    <x v="0"/>
    <n v="8"/>
    <x v="1"/>
    <n v="15000"/>
    <n v="345000"/>
  </r>
  <r>
    <s v="I012"/>
    <n v="1"/>
    <n v="1"/>
    <n v="0"/>
    <x v="11"/>
    <x v="0"/>
    <x v="6"/>
    <n v="6"/>
    <x v="0"/>
    <n v="14000"/>
    <n v="0"/>
  </r>
  <r>
    <s v="I013"/>
    <n v="20"/>
    <n v="6"/>
    <n v="14"/>
    <x v="12"/>
    <x v="2"/>
    <x v="7"/>
    <n v="12"/>
    <x v="1"/>
    <n v="5200"/>
    <n v="72800"/>
  </r>
  <r>
    <s v="I014"/>
    <n v="0"/>
    <n v="0"/>
    <n v="0"/>
    <x v="13"/>
    <x v="2"/>
    <x v="8"/>
    <n v="10"/>
    <x v="0"/>
    <n v="75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386D5-8DD7-45BB-97CE-C13192A5910D}" name="TotalItem"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I22" firstHeaderRow="1" firstDataRow="1" firstDataCol="0"/>
  <pivotFields count="11">
    <pivotField showAll="0"/>
    <pivotField showAll="0"/>
    <pivotField showAll="0"/>
    <pivotField showAll="0"/>
    <pivotField dataField="1" showAll="0"/>
    <pivotField showAll="0">
      <items count="4">
        <item x="1"/>
        <item x="0"/>
        <item x="2"/>
        <item t="default"/>
      </items>
    </pivotField>
    <pivotField showAll="0">
      <items count="10">
        <item x="6"/>
        <item x="0"/>
        <item x="2"/>
        <item x="5"/>
        <item x="1"/>
        <item x="7"/>
        <item x="4"/>
        <item x="3"/>
        <item x="8"/>
        <item t="default"/>
      </items>
    </pivotField>
    <pivotField showAll="0"/>
    <pivotField showAll="0"/>
    <pivotField showAll="0"/>
    <pivotField showAll="0"/>
  </pivotFields>
  <rowItems count="1">
    <i/>
  </rowItems>
  <colItems count="1">
    <i/>
  </colItems>
  <dataFields count="1">
    <dataField name="Count of Item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A10069-0B16-45F3-AD9A-FDD53A63687C}" name="TotalStock"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I19" firstHeaderRow="1" firstDataRow="1" firstDataCol="0"/>
  <pivotFields count="11">
    <pivotField showAll="0"/>
    <pivotField showAll="0"/>
    <pivotField showAll="0"/>
    <pivotField dataField="1" showAll="0"/>
    <pivotField showAll="0">
      <items count="15">
        <item x="12"/>
        <item x="13"/>
        <item x="6"/>
        <item x="8"/>
        <item x="1"/>
        <item x="4"/>
        <item x="2"/>
        <item x="3"/>
        <item x="0"/>
        <item x="10"/>
        <item x="11"/>
        <item x="9"/>
        <item x="5"/>
        <item x="7"/>
        <item t="default"/>
      </items>
    </pivotField>
    <pivotField showAll="0">
      <items count="4">
        <item x="1"/>
        <item x="0"/>
        <item x="2"/>
        <item t="default"/>
      </items>
    </pivotField>
    <pivotField showAll="0">
      <items count="10">
        <item x="6"/>
        <item x="0"/>
        <item x="2"/>
        <item x="5"/>
        <item x="1"/>
        <item x="7"/>
        <item x="4"/>
        <item x="3"/>
        <item x="8"/>
        <item t="default"/>
      </items>
    </pivotField>
    <pivotField showAll="0"/>
    <pivotField showAll="0"/>
    <pivotField showAll="0"/>
    <pivotField showAll="0"/>
  </pivotFields>
  <rowItems count="1">
    <i/>
  </rowItems>
  <colItems count="1">
    <i/>
  </colItems>
  <dataFields count="1">
    <dataField name="Total Stoc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16AFAE-31A5-4DE1-9A96-F171D9E915EC}" name="LowStockTable"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38:F45" firstHeaderRow="0" firstDataRow="1" firstDataCol="1" rowPageCount="1" colPageCount="1"/>
  <pivotFields count="11">
    <pivotField compact="0" outline="0" showAll="0" defaultSubtotal="0"/>
    <pivotField compact="0" outline="0" showAll="0" defaultSubtotal="0"/>
    <pivotField compact="0" outline="0" showAll="0" defaultSubtotal="0"/>
    <pivotField dataField="1" compact="0" outline="0" showAll="0" defaultSubtotal="0"/>
    <pivotField axis="axisRow" compact="0" outline="0" showAll="0" defaultSubtotal="0">
      <items count="14">
        <item x="12"/>
        <item x="13"/>
        <item x="6"/>
        <item x="8"/>
        <item x="1"/>
        <item x="4"/>
        <item x="2"/>
        <item x="3"/>
        <item x="0"/>
        <item x="10"/>
        <item x="11"/>
        <item x="9"/>
        <item x="5"/>
        <item x="7"/>
      </items>
    </pivotField>
    <pivotField compact="0" outline="0" showAll="0" defaultSubtotal="0">
      <items count="3">
        <item x="1"/>
        <item x="0"/>
        <item x="2"/>
      </items>
    </pivotField>
    <pivotField compact="0" outline="0" showAll="0" defaultSubtotal="0">
      <items count="9">
        <item x="6"/>
        <item x="0"/>
        <item x="2"/>
        <item x="5"/>
        <item x="1"/>
        <item x="7"/>
        <item x="4"/>
        <item x="3"/>
        <item x="8"/>
      </items>
    </pivotField>
    <pivotField dataField="1" compact="0" outline="0" showAll="0" defaultSubtotal="0"/>
    <pivotField axis="axisPage" compact="0" outline="0" showAll="0" defaultSubtotal="0">
      <items count="2">
        <item x="0"/>
        <item x="1"/>
      </items>
    </pivotField>
    <pivotField compact="0" outline="0" showAll="0" defaultSubtotal="0"/>
    <pivotField compact="0" outline="0" showAll="0" defaultSubtotal="0"/>
  </pivotFields>
  <rowFields count="1">
    <field x="4"/>
  </rowFields>
  <rowItems count="7">
    <i>
      <x v="1"/>
    </i>
    <i>
      <x v="4"/>
    </i>
    <i>
      <x v="7"/>
    </i>
    <i>
      <x v="8"/>
    </i>
    <i>
      <x v="10"/>
    </i>
    <i>
      <x v="12"/>
    </i>
    <i>
      <x v="13"/>
    </i>
  </rowItems>
  <colFields count="1">
    <field x="-2"/>
  </colFields>
  <colItems count="2">
    <i>
      <x/>
    </i>
    <i i="1">
      <x v="1"/>
    </i>
  </colItems>
  <pageFields count="1">
    <pageField fld="8" item="0" hier="-1"/>
  </pageFields>
  <dataFields count="2">
    <dataField name="Current Stock" fld="3" baseField="0" baseItem="0"/>
    <dataField name="Reorder Leve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FB827F-4B01-437E-92AA-6D251D388864}" name="Stock_by_Categor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8:B42" firstHeaderRow="1" firstDataRow="1" firstDataCol="1"/>
  <pivotFields count="11">
    <pivotField showAll="0"/>
    <pivotField showAll="0"/>
    <pivotField showAll="0"/>
    <pivotField dataField="1" showAll="0"/>
    <pivotField showAll="0">
      <items count="15">
        <item x="12"/>
        <item x="13"/>
        <item x="6"/>
        <item x="8"/>
        <item x="1"/>
        <item x="4"/>
        <item x="2"/>
        <item x="3"/>
        <item x="0"/>
        <item x="10"/>
        <item x="11"/>
        <item x="9"/>
        <item x="5"/>
        <item x="7"/>
        <item t="default"/>
      </items>
    </pivotField>
    <pivotField axis="axisRow" showAll="0">
      <items count="4">
        <item x="1"/>
        <item x="0"/>
        <item x="2"/>
        <item t="default"/>
      </items>
    </pivotField>
    <pivotField showAll="0">
      <items count="10">
        <item x="6"/>
        <item x="0"/>
        <item x="2"/>
        <item x="5"/>
        <item x="1"/>
        <item x="7"/>
        <item x="4"/>
        <item x="3"/>
        <item x="8"/>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Sum of CurrentStock" fld="3"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2BF210-6C8B-4ABE-BE93-3F43664B72F0}" name="LowStockCount"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N15" firstHeaderRow="1" firstDataRow="1" firstDataCol="0" rowPageCount="1" colPageCount="1"/>
  <pivotFields count="11">
    <pivotField showAll="0"/>
    <pivotField showAll="0"/>
    <pivotField showAll="0"/>
    <pivotField showAll="0"/>
    <pivotField showAll="0">
      <items count="15">
        <item x="12"/>
        <item x="13"/>
        <item x="6"/>
        <item x="8"/>
        <item x="1"/>
        <item x="4"/>
        <item x="2"/>
        <item x="3"/>
        <item x="0"/>
        <item x="10"/>
        <item x="11"/>
        <item x="9"/>
        <item x="5"/>
        <item x="7"/>
        <item t="default"/>
      </items>
    </pivotField>
    <pivotField showAll="0">
      <items count="4">
        <item x="1"/>
        <item x="0"/>
        <item x="2"/>
        <item t="default"/>
      </items>
    </pivotField>
    <pivotField showAll="0">
      <items count="10">
        <item x="6"/>
        <item x="0"/>
        <item x="2"/>
        <item x="5"/>
        <item x="1"/>
        <item x="7"/>
        <item x="4"/>
        <item x="3"/>
        <item x="8"/>
        <item t="default"/>
      </items>
    </pivotField>
    <pivotField showAll="0"/>
    <pivotField axis="axisPage" dataField="1" multipleItemSelectionAllowed="1" showAll="0">
      <items count="3">
        <item x="0"/>
        <item h="1" x="1"/>
        <item t="default"/>
      </items>
    </pivotField>
    <pivotField showAll="0"/>
    <pivotField showAll="0"/>
  </pivotFields>
  <rowItems count="1">
    <i/>
  </rowItems>
  <colItems count="1">
    <i/>
  </colItems>
  <pageFields count="1">
    <pageField fld="8" hier="-1"/>
  </pageFields>
  <dataFields count="1">
    <dataField name="Count of LowStock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67DF14-D9B8-4A87-813F-D80069AF1ED6}" name="TotalInvenValue"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J19" firstHeaderRow="1" firstDataRow="1" firstDataCol="0"/>
  <pivotFields count="11">
    <pivotField showAll="0"/>
    <pivotField showAll="0"/>
    <pivotField showAll="0"/>
    <pivotField showAll="0"/>
    <pivotField showAll="0">
      <items count="15">
        <item x="12"/>
        <item x="13"/>
        <item x="6"/>
        <item x="8"/>
        <item x="1"/>
        <item x="4"/>
        <item x="2"/>
        <item x="3"/>
        <item x="0"/>
        <item x="10"/>
        <item x="11"/>
        <item x="9"/>
        <item x="5"/>
        <item x="7"/>
        <item t="default"/>
      </items>
    </pivotField>
    <pivotField showAll="0">
      <items count="4">
        <item x="1"/>
        <item x="0"/>
        <item x="2"/>
        <item t="default"/>
      </items>
    </pivotField>
    <pivotField showAll="0">
      <items count="10">
        <item x="6"/>
        <item x="0"/>
        <item x="2"/>
        <item x="5"/>
        <item x="1"/>
        <item x="7"/>
        <item x="4"/>
        <item x="3"/>
        <item x="8"/>
        <item t="default"/>
      </items>
    </pivotField>
    <pivotField showAll="0"/>
    <pivotField showAll="0"/>
    <pivotField showAll="0"/>
    <pivotField dataField="1" showAll="0"/>
  </pivotFields>
  <rowItems count="1">
    <i/>
  </rowItems>
  <colItems count="1">
    <i/>
  </colItems>
  <dataFields count="1">
    <dataField name="Total Inventory Value" fld="10"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060A34-92B6-49AA-80B1-ED42E9E323C3}" name="Current_Stock_Item"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B33" firstHeaderRow="1" firstDataRow="1" firstDataCol="1"/>
  <pivotFields count="11">
    <pivotField showAll="0"/>
    <pivotField showAll="0"/>
    <pivotField showAll="0"/>
    <pivotField dataField="1" showAll="0"/>
    <pivotField axis="axisRow" showAll="0">
      <items count="15">
        <item x="12"/>
        <item x="13"/>
        <item x="6"/>
        <item x="8"/>
        <item x="1"/>
        <item x="4"/>
        <item x="2"/>
        <item x="3"/>
        <item x="0"/>
        <item x="10"/>
        <item x="11"/>
        <item x="9"/>
        <item x="5"/>
        <item x="7"/>
        <item t="default"/>
      </items>
    </pivotField>
    <pivotField showAll="0">
      <items count="4">
        <item x="1"/>
        <item x="0"/>
        <item x="2"/>
        <item t="default"/>
      </items>
    </pivotField>
    <pivotField showAll="0">
      <items count="10">
        <item x="6"/>
        <item x="0"/>
        <item x="2"/>
        <item x="5"/>
        <item x="1"/>
        <item x="7"/>
        <item x="4"/>
        <item x="3"/>
        <item x="8"/>
        <item t="default"/>
      </items>
    </pivotField>
    <pivotField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Sum of CurrentStock"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F6D469-7513-4C9E-BEC2-BF18FE7F7D62}" name="PurchaseVsSales"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8:F33" firstHeaderRow="0" firstDataRow="1" firstDataCol="1"/>
  <pivotFields count="11">
    <pivotField showAll="0"/>
    <pivotField dataField="1" showAll="0"/>
    <pivotField dataField="1" showAll="0"/>
    <pivotField showAll="0"/>
    <pivotField axis="axisRow" showAll="0">
      <items count="15">
        <item x="12"/>
        <item x="13"/>
        <item x="6"/>
        <item x="8"/>
        <item x="1"/>
        <item x="4"/>
        <item x="2"/>
        <item x="3"/>
        <item x="0"/>
        <item x="10"/>
        <item x="11"/>
        <item x="9"/>
        <item x="5"/>
        <item x="7"/>
        <item t="default"/>
      </items>
    </pivotField>
    <pivotField showAll="0">
      <items count="4">
        <item x="1"/>
        <item x="0"/>
        <item x="2"/>
        <item t="default"/>
      </items>
    </pivotField>
    <pivotField showAll="0">
      <items count="10">
        <item x="6"/>
        <item x="0"/>
        <item x="2"/>
        <item x="5"/>
        <item x="1"/>
        <item x="7"/>
        <item x="4"/>
        <item x="3"/>
        <item x="8"/>
        <item t="default"/>
      </items>
    </pivotField>
    <pivotField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Total Purchase" fld="1" baseField="0" baseItem="0"/>
    <dataField name="Total Sales"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Name" xr10:uid="{54F48706-97B9-440D-94E4-BBB6B776B694}" sourceName="ItemName">
  <pivotTables>
    <pivotTable tabId="6" name="Current_Stock_Item"/>
    <pivotTable tabId="6" name="LowStockTable"/>
    <pivotTable tabId="6" name="PurchaseVsSales"/>
    <pivotTable tabId="6" name="Stock_by_Category"/>
    <pivotTable tabId="6" name="LowStockCount"/>
    <pivotTable tabId="6" name="TotalInvenValue"/>
    <pivotTable tabId="6" name="TotalStock"/>
  </pivotTables>
  <data>
    <tabular pivotCacheId="691725386">
      <items count="14">
        <i x="12" s="1"/>
        <i x="13" s="1"/>
        <i x="6" s="1"/>
        <i x="8" s="1"/>
        <i x="1" s="1"/>
        <i x="4" s="1"/>
        <i x="2" s="1"/>
        <i x="3" s="1"/>
        <i x="0" s="1"/>
        <i x="10" s="1"/>
        <i x="11" s="1"/>
        <i x="9"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28F2018-B68A-4E53-9164-5ECC51B96587}" sourceName="Category">
  <pivotTables>
    <pivotTable tabId="6" name="Current_Stock_Item"/>
    <pivotTable tabId="6" name="LowStockTable"/>
    <pivotTable tabId="6" name="PurchaseVsSales"/>
    <pivotTable tabId="6" name="Stock_by_Category"/>
    <pivotTable tabId="6" name="LowStockCount"/>
    <pivotTable tabId="6" name="TotalInvenValue"/>
    <pivotTable tabId="6" name="TotalStock"/>
    <pivotTable tabId="6" name="TotalItem"/>
  </pivotTables>
  <data>
    <tabular pivotCacheId="69172538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3C3864DD-52C5-4FC2-832B-F9B4FDD44478}" sourceName="Supplier">
  <pivotTables>
    <pivotTable tabId="6" name="Current_Stock_Item"/>
    <pivotTable tabId="6" name="LowStockCount"/>
    <pivotTable tabId="6" name="LowStockTable"/>
    <pivotTable tabId="6" name="PurchaseVsSales"/>
    <pivotTable tabId="6" name="Stock_by_Category"/>
    <pivotTable tabId="6" name="TotalInvenValue"/>
    <pivotTable tabId="6" name="TotalStock"/>
    <pivotTable tabId="6" name="TotalItem"/>
  </pivotTables>
  <data>
    <tabular pivotCacheId="691725386">
      <items count="9">
        <i x="6" s="1"/>
        <i x="0" s="1"/>
        <i x="2" s="1"/>
        <i x="5" s="1"/>
        <i x="1" s="1"/>
        <i x="7" s="1"/>
        <i x="4"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CCAB027-1D50-4256-8C04-C45E33A14E9D}"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Name" xr10:uid="{198D2E79-DF28-4E5E-B161-FE893DB0C71D}" cache="Slicer_ItemName" caption="ItemName" rowHeight="234950"/>
  <slicer name="Category 1" xr10:uid="{51922172-B1CC-44C5-A5CC-1F82D317E253}" cache="Slicer_Category1" caption="Category" rowHeight="288000"/>
  <slicer name="Supplier" xr10:uid="{74ABA17C-4176-4EDC-BA62-15E7A128B8C1}" cache="Slicer_Supplier" caption="Supplier"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0F208-1129-4869-8D12-55120237B79E}" name="InventoryData" displayName="InventoryData" ref="A1:F19" totalsRowShown="0" headerRowDxfId="46" dataDxfId="45">
  <autoFilter ref="A1:F19" xr:uid="{AC70F208-1129-4869-8D12-55120237B79E}"/>
  <tableColumns count="6">
    <tableColumn id="1" xr3:uid="{E6F3E129-6C77-467A-9893-A9D8490FB87D}" name="Item_ID" dataDxfId="44"/>
    <tableColumn id="2" xr3:uid="{513DC8F5-ECC8-400D-B10D-561D92F8399C}" name="Item_Name" dataDxfId="43"/>
    <tableColumn id="3" xr3:uid="{3096D429-7ADD-422C-88D5-9B353FB3EED5}" name="Category" dataDxfId="42"/>
    <tableColumn id="4" xr3:uid="{764B247B-23D2-4E1E-95F6-7F9444C29B2F}" name="Supplier" dataDxfId="41"/>
    <tableColumn id="5" xr3:uid="{A949930C-9041-4EED-8675-5CFBFADB43EA}" name="Reorder_Level" dataDxfId="40"/>
    <tableColumn id="6" xr3:uid="{5515E71C-95A7-463F-8309-EB624191D8F4}" name="Unit_Cost" dataDxfId="39"/>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4FEB08-11B0-4417-9462-C253975C6693}" name="SalesData" displayName="SalesData" ref="A1:C51" totalsRowShown="0" headerRowDxfId="38">
  <autoFilter ref="A1:C51" xr:uid="{4F4FEB08-11B0-4417-9462-C253975C6693}"/>
  <tableColumns count="3">
    <tableColumn id="1" xr3:uid="{F68E1DB7-CCE7-4CE7-8613-A851D10F89A4}" name="Sale_Date" dataDxfId="37"/>
    <tableColumn id="2" xr3:uid="{D294B98F-7724-4B89-9F0B-9CC924ADCE0A}" name="Item_ID" dataDxfId="36"/>
    <tableColumn id="3" xr3:uid="{B6C49B05-826E-4A89-A6C8-F46C4376B2E3}" name="Quantity_Sold" dataDxfId="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AEFED9-2BB7-47D6-B01B-25FCB9131488}" name="PurchaseData" displayName="PurchaseData" ref="A1:C22" totalsRowShown="0" headerRowDxfId="34">
  <autoFilter ref="A1:C22" xr:uid="{B4AEFED9-2BB7-47D6-B01B-25FCB9131488}"/>
  <tableColumns count="3">
    <tableColumn id="1" xr3:uid="{03D56C98-A955-4E25-ADE8-E4FE69D58CF2}" name="Purchase_Date" dataDxfId="33"/>
    <tableColumn id="2" xr3:uid="{0DB9D38B-D781-4A01-8C6E-915ED000F5F3}" name="Item_ID" dataDxfId="32"/>
    <tableColumn id="3" xr3:uid="{89F07BAC-48ED-4D97-B719-3CFE7EE4C7D7}" name="Quantity_Purchased" dataDxfId="3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DA5C-F78A-4FAF-AFF2-9760A4FE5C01}">
  <dimension ref="A1:F19"/>
  <sheetViews>
    <sheetView workbookViewId="0">
      <selection activeCell="D4" sqref="D4"/>
    </sheetView>
  </sheetViews>
  <sheetFormatPr defaultRowHeight="14.4" x14ac:dyDescent="0.3"/>
  <cols>
    <col min="1" max="1" width="9.5546875" customWidth="1"/>
    <col min="2" max="2" width="15.6640625" customWidth="1"/>
    <col min="3" max="3" width="14" customWidth="1"/>
    <col min="4" max="4" width="12.33203125" bestFit="1" customWidth="1"/>
    <col min="5" max="5" width="17" customWidth="1"/>
    <col min="6" max="6" width="12.5546875" customWidth="1"/>
  </cols>
  <sheetData>
    <row r="1" spans="1:6" x14ac:dyDescent="0.3">
      <c r="A1" s="1" t="s">
        <v>0</v>
      </c>
      <c r="B1" s="1" t="s">
        <v>1</v>
      </c>
      <c r="C1" s="1" t="s">
        <v>2</v>
      </c>
      <c r="D1" s="1" t="s">
        <v>3</v>
      </c>
      <c r="E1" s="1" t="s">
        <v>4</v>
      </c>
      <c r="F1" s="1" t="s">
        <v>5</v>
      </c>
    </row>
    <row r="2" spans="1:6" x14ac:dyDescent="0.3">
      <c r="A2" s="2" t="s">
        <v>6</v>
      </c>
      <c r="B2" s="2" t="s">
        <v>7</v>
      </c>
      <c r="C2" s="2" t="s">
        <v>8</v>
      </c>
      <c r="D2" s="2" t="s">
        <v>11</v>
      </c>
      <c r="E2" s="2">
        <v>15</v>
      </c>
      <c r="F2" s="2">
        <v>500</v>
      </c>
    </row>
    <row r="3" spans="1:6" x14ac:dyDescent="0.3">
      <c r="A3" s="2" t="s">
        <v>9</v>
      </c>
      <c r="B3" s="2" t="s">
        <v>10</v>
      </c>
      <c r="C3" s="2" t="s">
        <v>8</v>
      </c>
      <c r="D3" s="2" t="s">
        <v>11</v>
      </c>
      <c r="E3" s="2">
        <v>15</v>
      </c>
      <c r="F3" s="2">
        <v>700</v>
      </c>
    </row>
    <row r="4" spans="1:6" x14ac:dyDescent="0.3">
      <c r="A4" s="2" t="s">
        <v>16</v>
      </c>
      <c r="B4" s="2" t="s">
        <v>17</v>
      </c>
      <c r="C4" s="2" t="s">
        <v>8</v>
      </c>
      <c r="D4" s="2" t="s">
        <v>18</v>
      </c>
      <c r="E4" s="2">
        <v>10</v>
      </c>
      <c r="F4" s="2">
        <v>8500</v>
      </c>
    </row>
    <row r="5" spans="1:6" x14ac:dyDescent="0.3">
      <c r="A5" s="2" t="s">
        <v>19</v>
      </c>
      <c r="B5" s="2" t="s">
        <v>20</v>
      </c>
      <c r="C5" s="2" t="s">
        <v>8</v>
      </c>
      <c r="D5" s="2" t="s">
        <v>21</v>
      </c>
      <c r="E5" s="2">
        <v>10</v>
      </c>
      <c r="F5" s="2">
        <v>11000</v>
      </c>
    </row>
    <row r="6" spans="1:6" x14ac:dyDescent="0.3">
      <c r="A6" s="2" t="s">
        <v>22</v>
      </c>
      <c r="B6" s="2" t="s">
        <v>23</v>
      </c>
      <c r="C6" s="2" t="s">
        <v>24</v>
      </c>
      <c r="D6" s="2" t="s">
        <v>25</v>
      </c>
      <c r="E6" s="2">
        <v>25</v>
      </c>
      <c r="F6" s="2">
        <v>1200</v>
      </c>
    </row>
    <row r="7" spans="1:6" x14ac:dyDescent="0.3">
      <c r="A7" s="2" t="s">
        <v>26</v>
      </c>
      <c r="B7" s="2" t="s">
        <v>27</v>
      </c>
      <c r="C7" s="2" t="s">
        <v>24</v>
      </c>
      <c r="D7" s="2" t="s">
        <v>35</v>
      </c>
      <c r="E7" s="2">
        <v>50</v>
      </c>
      <c r="F7" s="2">
        <v>250</v>
      </c>
    </row>
    <row r="8" spans="1:6" x14ac:dyDescent="0.3">
      <c r="A8" s="2" t="s">
        <v>28</v>
      </c>
      <c r="B8" s="2" t="s">
        <v>29</v>
      </c>
      <c r="C8" s="2" t="s">
        <v>24</v>
      </c>
      <c r="D8" s="2" t="s">
        <v>35</v>
      </c>
      <c r="E8" s="2">
        <v>40</v>
      </c>
      <c r="F8" s="2">
        <v>400</v>
      </c>
    </row>
    <row r="9" spans="1:6" x14ac:dyDescent="0.3">
      <c r="A9" s="2" t="s">
        <v>30</v>
      </c>
      <c r="B9" s="2" t="s">
        <v>31</v>
      </c>
      <c r="C9" s="2" t="s">
        <v>8</v>
      </c>
      <c r="D9" s="2" t="s">
        <v>32</v>
      </c>
      <c r="E9" s="2">
        <v>10</v>
      </c>
      <c r="F9" s="2">
        <v>3500</v>
      </c>
    </row>
    <row r="10" spans="1:6" x14ac:dyDescent="0.3">
      <c r="A10" s="2" t="s">
        <v>33</v>
      </c>
      <c r="B10" s="2" t="s">
        <v>34</v>
      </c>
      <c r="C10" s="2" t="s">
        <v>8</v>
      </c>
      <c r="D10" s="2" t="s">
        <v>35</v>
      </c>
      <c r="E10" s="2">
        <v>15</v>
      </c>
      <c r="F10" s="2">
        <v>4500</v>
      </c>
    </row>
    <row r="11" spans="1:6" x14ac:dyDescent="0.3">
      <c r="A11" s="2" t="s">
        <v>36</v>
      </c>
      <c r="B11" s="2" t="s">
        <v>37</v>
      </c>
      <c r="C11" s="2" t="s">
        <v>8</v>
      </c>
      <c r="D11" s="2" t="s">
        <v>35</v>
      </c>
      <c r="E11" s="2">
        <v>10</v>
      </c>
      <c r="F11" s="2">
        <v>6000</v>
      </c>
    </row>
    <row r="12" spans="1:6" x14ac:dyDescent="0.3">
      <c r="A12" s="2" t="s">
        <v>38</v>
      </c>
      <c r="B12" s="2" t="s">
        <v>39</v>
      </c>
      <c r="C12" s="2" t="s">
        <v>8</v>
      </c>
      <c r="D12" s="2" t="s">
        <v>11</v>
      </c>
      <c r="E12" s="2">
        <v>8</v>
      </c>
      <c r="F12" s="2">
        <v>15000</v>
      </c>
    </row>
    <row r="13" spans="1:6" x14ac:dyDescent="0.3">
      <c r="A13" s="2" t="s">
        <v>40</v>
      </c>
      <c r="B13" s="2" t="s">
        <v>41</v>
      </c>
      <c r="C13" s="2" t="s">
        <v>8</v>
      </c>
      <c r="D13" s="2" t="s">
        <v>42</v>
      </c>
      <c r="E13" s="2">
        <v>6</v>
      </c>
      <c r="F13" s="2">
        <v>14000</v>
      </c>
    </row>
    <row r="14" spans="1:6" x14ac:dyDescent="0.3">
      <c r="A14" s="2" t="s">
        <v>43</v>
      </c>
      <c r="B14" s="2" t="s">
        <v>44</v>
      </c>
      <c r="C14" s="2" t="s">
        <v>45</v>
      </c>
      <c r="D14" s="2" t="s">
        <v>46</v>
      </c>
      <c r="E14" s="2">
        <v>12</v>
      </c>
      <c r="F14" s="2">
        <v>5200</v>
      </c>
    </row>
    <row r="15" spans="1:6" x14ac:dyDescent="0.3">
      <c r="A15" s="3" t="s">
        <v>47</v>
      </c>
      <c r="B15" s="2" t="s">
        <v>48</v>
      </c>
      <c r="C15" s="2" t="s">
        <v>45</v>
      </c>
      <c r="D15" s="2" t="s">
        <v>49</v>
      </c>
      <c r="E15" s="2">
        <v>10</v>
      </c>
      <c r="F15" s="2">
        <v>7500</v>
      </c>
    </row>
    <row r="16" spans="1:6" x14ac:dyDescent="0.3">
      <c r="A16" s="2"/>
      <c r="B16" s="2"/>
      <c r="C16" s="2"/>
      <c r="D16" s="2"/>
      <c r="E16" s="2"/>
      <c r="F16" s="2"/>
    </row>
    <row r="17" spans="1:6" x14ac:dyDescent="0.3">
      <c r="A17" s="2"/>
      <c r="B17" s="2"/>
      <c r="C17" s="2"/>
      <c r="D17" s="2"/>
      <c r="E17" s="2"/>
      <c r="F17" s="2"/>
    </row>
    <row r="18" spans="1:6" x14ac:dyDescent="0.3">
      <c r="A18" s="2"/>
      <c r="B18" s="2"/>
      <c r="C18" s="2"/>
      <c r="D18" s="2"/>
      <c r="E18" s="2"/>
      <c r="F18" s="2"/>
    </row>
    <row r="19" spans="1:6" x14ac:dyDescent="0.3">
      <c r="A19" s="2"/>
      <c r="B19" s="2"/>
      <c r="C19" s="2"/>
      <c r="D19" s="2"/>
      <c r="E19" s="2"/>
      <c r="F19"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770AA-7EB2-48A5-A13B-5E06AB4C84EA}">
  <dimension ref="A1:C51"/>
  <sheetViews>
    <sheetView topLeftCell="A25" workbookViewId="0">
      <selection sqref="A1:C51"/>
    </sheetView>
  </sheetViews>
  <sheetFormatPr defaultRowHeight="14.4" x14ac:dyDescent="0.3"/>
  <cols>
    <col min="1" max="1" width="14.44140625" customWidth="1"/>
    <col min="2" max="2" width="9.5546875" customWidth="1"/>
    <col min="3" max="3" width="14.88671875" customWidth="1"/>
  </cols>
  <sheetData>
    <row r="1" spans="1:3" x14ac:dyDescent="0.3">
      <c r="A1" s="1" t="s">
        <v>14</v>
      </c>
      <c r="B1" s="1" t="s">
        <v>0</v>
      </c>
      <c r="C1" s="1" t="s">
        <v>15</v>
      </c>
    </row>
    <row r="2" spans="1:3" x14ac:dyDescent="0.3">
      <c r="A2" s="4">
        <v>45994</v>
      </c>
      <c r="B2" s="2" t="s">
        <v>6</v>
      </c>
      <c r="C2" s="2">
        <v>20</v>
      </c>
    </row>
    <row r="3" spans="1:3" x14ac:dyDescent="0.3">
      <c r="A3" s="4">
        <v>45995</v>
      </c>
      <c r="B3" s="2" t="s">
        <v>9</v>
      </c>
      <c r="C3" s="2">
        <v>5</v>
      </c>
    </row>
    <row r="4" spans="1:3" x14ac:dyDescent="0.3">
      <c r="A4" s="4">
        <v>45996</v>
      </c>
      <c r="B4" s="2" t="s">
        <v>16</v>
      </c>
      <c r="C4" s="2">
        <v>3</v>
      </c>
    </row>
    <row r="5" spans="1:3" x14ac:dyDescent="0.3">
      <c r="A5" s="4">
        <v>45996</v>
      </c>
      <c r="B5" s="2" t="s">
        <v>19</v>
      </c>
      <c r="C5" s="2">
        <v>4</v>
      </c>
    </row>
    <row r="6" spans="1:3" x14ac:dyDescent="0.3">
      <c r="A6" s="4">
        <v>45997</v>
      </c>
      <c r="B6" s="2" t="s">
        <v>22</v>
      </c>
      <c r="C6" s="2">
        <v>12</v>
      </c>
    </row>
    <row r="7" spans="1:3" x14ac:dyDescent="0.3">
      <c r="A7" s="4">
        <v>45997</v>
      </c>
      <c r="B7" s="2" t="s">
        <v>26</v>
      </c>
      <c r="C7" s="2">
        <v>30</v>
      </c>
    </row>
    <row r="8" spans="1:3" x14ac:dyDescent="0.3">
      <c r="A8" s="4">
        <v>45998</v>
      </c>
      <c r="B8" s="2" t="s">
        <v>6</v>
      </c>
      <c r="C8" s="2">
        <v>18</v>
      </c>
    </row>
    <row r="9" spans="1:3" x14ac:dyDescent="0.3">
      <c r="A9" s="4">
        <v>45998</v>
      </c>
      <c r="B9" s="2" t="s">
        <v>30</v>
      </c>
      <c r="C9" s="2">
        <v>6</v>
      </c>
    </row>
    <row r="10" spans="1:3" x14ac:dyDescent="0.3">
      <c r="A10" s="4">
        <v>45999</v>
      </c>
      <c r="B10" s="2" t="s">
        <v>33</v>
      </c>
      <c r="C10" s="2">
        <v>7</v>
      </c>
    </row>
    <row r="11" spans="1:3" x14ac:dyDescent="0.3">
      <c r="A11" s="4">
        <v>45999</v>
      </c>
      <c r="B11" s="2" t="s">
        <v>36</v>
      </c>
      <c r="C11" s="2">
        <v>3</v>
      </c>
    </row>
    <row r="12" spans="1:3" x14ac:dyDescent="0.3">
      <c r="A12" s="4">
        <v>46000</v>
      </c>
      <c r="B12" s="2" t="s">
        <v>28</v>
      </c>
      <c r="C12" s="2">
        <v>2</v>
      </c>
    </row>
    <row r="13" spans="1:3" x14ac:dyDescent="0.3">
      <c r="A13" s="4">
        <v>46000</v>
      </c>
      <c r="B13" s="2" t="s">
        <v>40</v>
      </c>
      <c r="C13" s="2">
        <v>1</v>
      </c>
    </row>
    <row r="14" spans="1:3" x14ac:dyDescent="0.3">
      <c r="A14" s="4">
        <v>46001</v>
      </c>
      <c r="B14" s="2" t="s">
        <v>6</v>
      </c>
      <c r="C14" s="2">
        <v>9</v>
      </c>
    </row>
    <row r="15" spans="1:3" x14ac:dyDescent="0.3">
      <c r="A15" s="4">
        <v>46001</v>
      </c>
      <c r="B15" s="2" t="s">
        <v>43</v>
      </c>
      <c r="C15" s="2">
        <v>6</v>
      </c>
    </row>
    <row r="16" spans="1:3" x14ac:dyDescent="0.3">
      <c r="A16" s="4">
        <v>46002</v>
      </c>
      <c r="B16" s="2" t="s">
        <v>9</v>
      </c>
      <c r="C16" s="2">
        <v>15</v>
      </c>
    </row>
    <row r="17" spans="1:3" x14ac:dyDescent="0.3">
      <c r="A17" s="4">
        <v>46002</v>
      </c>
      <c r="B17" s="2" t="s">
        <v>16</v>
      </c>
      <c r="C17" s="2">
        <v>3</v>
      </c>
    </row>
    <row r="18" spans="1:3" x14ac:dyDescent="0.3">
      <c r="A18" s="4">
        <v>46003</v>
      </c>
      <c r="B18" s="2" t="s">
        <v>19</v>
      </c>
      <c r="C18" s="2">
        <v>1</v>
      </c>
    </row>
    <row r="19" spans="1:3" x14ac:dyDescent="0.3">
      <c r="A19" s="4">
        <v>46003</v>
      </c>
      <c r="B19" s="2" t="s">
        <v>22</v>
      </c>
      <c r="C19" s="2">
        <v>1</v>
      </c>
    </row>
    <row r="20" spans="1:3" x14ac:dyDescent="0.3">
      <c r="A20" s="4">
        <v>46004</v>
      </c>
      <c r="B20" s="2" t="s">
        <v>6</v>
      </c>
      <c r="C20" s="2">
        <v>5</v>
      </c>
    </row>
    <row r="21" spans="1:3" x14ac:dyDescent="0.3">
      <c r="A21" s="4">
        <v>46004</v>
      </c>
      <c r="B21" s="2" t="s">
        <v>9</v>
      </c>
      <c r="C21" s="2">
        <v>4</v>
      </c>
    </row>
    <row r="22" spans="1:3" x14ac:dyDescent="0.3">
      <c r="A22" s="4">
        <v>46005</v>
      </c>
      <c r="B22" s="2" t="s">
        <v>6</v>
      </c>
      <c r="C22" s="2">
        <v>4</v>
      </c>
    </row>
    <row r="23" spans="1:3" x14ac:dyDescent="0.3">
      <c r="A23" s="4">
        <v>46005</v>
      </c>
      <c r="B23" s="2" t="s">
        <v>19</v>
      </c>
      <c r="C23" s="2">
        <v>2</v>
      </c>
    </row>
    <row r="24" spans="1:3" x14ac:dyDescent="0.3">
      <c r="A24" s="4">
        <v>46006</v>
      </c>
      <c r="B24" s="2" t="s">
        <v>6</v>
      </c>
      <c r="C24" s="2">
        <v>6</v>
      </c>
    </row>
    <row r="25" spans="1:3" x14ac:dyDescent="0.3">
      <c r="A25" s="4">
        <v>46006</v>
      </c>
      <c r="B25" s="2" t="s">
        <v>16</v>
      </c>
      <c r="C25" s="2">
        <v>6</v>
      </c>
    </row>
    <row r="26" spans="1:3" x14ac:dyDescent="0.3">
      <c r="A26" s="4">
        <v>46007</v>
      </c>
      <c r="B26" s="2" t="s">
        <v>26</v>
      </c>
      <c r="C26" s="2">
        <v>11</v>
      </c>
    </row>
    <row r="27" spans="1:3" x14ac:dyDescent="0.3">
      <c r="A27" s="4">
        <v>46007</v>
      </c>
      <c r="B27" s="2" t="s">
        <v>22</v>
      </c>
      <c r="C27" s="2">
        <v>5</v>
      </c>
    </row>
    <row r="28" spans="1:3" x14ac:dyDescent="0.3">
      <c r="A28" s="4">
        <v>46008</v>
      </c>
      <c r="B28" s="2" t="s">
        <v>36</v>
      </c>
      <c r="C28" s="2">
        <v>8</v>
      </c>
    </row>
    <row r="29" spans="1:3" x14ac:dyDescent="0.3">
      <c r="A29" s="4">
        <v>46008</v>
      </c>
      <c r="B29" s="2" t="s">
        <v>19</v>
      </c>
      <c r="C29" s="2">
        <v>1</v>
      </c>
    </row>
    <row r="30" spans="1:3" x14ac:dyDescent="0.3">
      <c r="A30" s="4">
        <v>46009</v>
      </c>
      <c r="B30" s="2" t="s">
        <v>9</v>
      </c>
      <c r="C30" s="2">
        <v>3</v>
      </c>
    </row>
    <row r="31" spans="1:3" x14ac:dyDescent="0.3">
      <c r="A31" s="4">
        <v>46009</v>
      </c>
      <c r="B31" s="2" t="s">
        <v>28</v>
      </c>
      <c r="C31" s="2">
        <v>16</v>
      </c>
    </row>
    <row r="32" spans="1:3" x14ac:dyDescent="0.3">
      <c r="A32" s="4">
        <v>46010</v>
      </c>
      <c r="B32" s="2" t="s">
        <v>6</v>
      </c>
      <c r="C32" s="2">
        <v>3</v>
      </c>
    </row>
    <row r="33" spans="1:3" x14ac:dyDescent="0.3">
      <c r="A33" s="4">
        <v>46010</v>
      </c>
      <c r="B33" s="2" t="s">
        <v>26</v>
      </c>
      <c r="C33" s="2">
        <v>7</v>
      </c>
    </row>
    <row r="34" spans="1:3" x14ac:dyDescent="0.3">
      <c r="A34" s="4">
        <v>46011</v>
      </c>
      <c r="B34" s="2" t="s">
        <v>22</v>
      </c>
      <c r="C34" s="2">
        <v>2</v>
      </c>
    </row>
    <row r="35" spans="1:3" x14ac:dyDescent="0.3">
      <c r="A35" s="4">
        <v>46011</v>
      </c>
      <c r="B35" s="2" t="s">
        <v>38</v>
      </c>
      <c r="C35" s="2">
        <v>6</v>
      </c>
    </row>
    <row r="36" spans="1:3" x14ac:dyDescent="0.3">
      <c r="A36" s="4">
        <v>46012</v>
      </c>
      <c r="B36" s="2" t="s">
        <v>16</v>
      </c>
      <c r="C36" s="2">
        <v>6</v>
      </c>
    </row>
    <row r="37" spans="1:3" x14ac:dyDescent="0.3">
      <c r="A37" s="4">
        <v>46012</v>
      </c>
      <c r="B37" s="2" t="s">
        <v>9</v>
      </c>
      <c r="C37" s="2">
        <v>4</v>
      </c>
    </row>
    <row r="38" spans="1:3" x14ac:dyDescent="0.3">
      <c r="A38" s="4">
        <v>46013</v>
      </c>
      <c r="B38" s="2" t="s">
        <v>38</v>
      </c>
      <c r="C38" s="2">
        <v>15</v>
      </c>
    </row>
    <row r="39" spans="1:3" x14ac:dyDescent="0.3">
      <c r="A39" s="4">
        <v>46013</v>
      </c>
      <c r="B39" s="2" t="s">
        <v>26</v>
      </c>
      <c r="C39" s="2">
        <v>8</v>
      </c>
    </row>
    <row r="40" spans="1:3" x14ac:dyDescent="0.3">
      <c r="A40" s="4">
        <v>46014</v>
      </c>
      <c r="B40" s="2" t="s">
        <v>38</v>
      </c>
      <c r="C40" s="2">
        <v>10</v>
      </c>
    </row>
    <row r="41" spans="1:3" x14ac:dyDescent="0.3">
      <c r="A41" s="4">
        <v>46014</v>
      </c>
      <c r="B41" s="2" t="s">
        <v>19</v>
      </c>
      <c r="C41" s="2">
        <v>2</v>
      </c>
    </row>
    <row r="42" spans="1:3" x14ac:dyDescent="0.3">
      <c r="A42" s="4">
        <v>46015</v>
      </c>
      <c r="B42" s="2" t="s">
        <v>16</v>
      </c>
      <c r="C42" s="2">
        <v>9</v>
      </c>
    </row>
    <row r="43" spans="1:3" x14ac:dyDescent="0.3">
      <c r="A43" s="4">
        <v>46015</v>
      </c>
      <c r="B43" s="2" t="s">
        <v>6</v>
      </c>
      <c r="C43" s="2">
        <v>7</v>
      </c>
    </row>
    <row r="44" spans="1:3" x14ac:dyDescent="0.3">
      <c r="A44" s="4">
        <v>46016</v>
      </c>
      <c r="B44" s="2" t="s">
        <v>38</v>
      </c>
      <c r="C44" s="2">
        <v>5</v>
      </c>
    </row>
    <row r="45" spans="1:3" x14ac:dyDescent="0.3">
      <c r="A45" s="4">
        <v>46016</v>
      </c>
      <c r="B45" s="2" t="s">
        <v>9</v>
      </c>
      <c r="C45" s="2">
        <v>5</v>
      </c>
    </row>
    <row r="46" spans="1:3" x14ac:dyDescent="0.3">
      <c r="A46" s="4">
        <v>46017</v>
      </c>
      <c r="B46" s="2" t="s">
        <v>38</v>
      </c>
      <c r="C46" s="2">
        <v>11</v>
      </c>
    </row>
    <row r="47" spans="1:3" x14ac:dyDescent="0.3">
      <c r="A47" s="4">
        <v>46017</v>
      </c>
      <c r="B47" s="2" t="s">
        <v>22</v>
      </c>
      <c r="C47" s="2">
        <v>4</v>
      </c>
    </row>
    <row r="48" spans="1:3" x14ac:dyDescent="0.3">
      <c r="A48" s="4">
        <v>46018</v>
      </c>
      <c r="B48" s="2" t="s">
        <v>16</v>
      </c>
      <c r="C48" s="2">
        <v>3</v>
      </c>
    </row>
    <row r="49" spans="1:3" x14ac:dyDescent="0.3">
      <c r="A49" s="4">
        <v>46018</v>
      </c>
      <c r="B49" s="2" t="s">
        <v>36</v>
      </c>
      <c r="C49" s="2">
        <v>8</v>
      </c>
    </row>
    <row r="50" spans="1:3" x14ac:dyDescent="0.3">
      <c r="A50" s="4">
        <v>46019</v>
      </c>
      <c r="B50" s="2" t="s">
        <v>38</v>
      </c>
      <c r="C50" s="2">
        <v>10</v>
      </c>
    </row>
    <row r="51" spans="1:3" x14ac:dyDescent="0.3">
      <c r="A51" s="4">
        <v>46019</v>
      </c>
      <c r="B51" s="2" t="s">
        <v>9</v>
      </c>
      <c r="C51" s="2">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EFBA-9AD1-4F54-A3C0-7BCF7873CF35}">
  <dimension ref="A1:C22"/>
  <sheetViews>
    <sheetView workbookViewId="0">
      <selection activeCell="C14" sqref="C14"/>
    </sheetView>
  </sheetViews>
  <sheetFormatPr defaultRowHeight="14.4" x14ac:dyDescent="0.3"/>
  <cols>
    <col min="1" max="1" width="15.5546875" customWidth="1"/>
    <col min="2" max="2" width="9.5546875" customWidth="1"/>
    <col min="3" max="3" width="20.5546875" customWidth="1"/>
  </cols>
  <sheetData>
    <row r="1" spans="1:3" x14ac:dyDescent="0.3">
      <c r="A1" s="1" t="s">
        <v>12</v>
      </c>
      <c r="B1" s="1" t="s">
        <v>0</v>
      </c>
      <c r="C1" s="1" t="s">
        <v>13</v>
      </c>
    </row>
    <row r="2" spans="1:3" x14ac:dyDescent="0.3">
      <c r="A2" s="4">
        <v>45992</v>
      </c>
      <c r="B2" s="3" t="s">
        <v>6</v>
      </c>
      <c r="C2" s="2">
        <v>50</v>
      </c>
    </row>
    <row r="3" spans="1:3" x14ac:dyDescent="0.3">
      <c r="A3" s="4">
        <v>45993</v>
      </c>
      <c r="B3" s="3" t="s">
        <v>9</v>
      </c>
      <c r="C3" s="2">
        <v>30</v>
      </c>
    </row>
    <row r="4" spans="1:3" x14ac:dyDescent="0.3">
      <c r="A4" s="4">
        <v>45994</v>
      </c>
      <c r="B4" s="3" t="s">
        <v>16</v>
      </c>
      <c r="C4" s="2">
        <v>60</v>
      </c>
    </row>
    <row r="5" spans="1:3" x14ac:dyDescent="0.3">
      <c r="A5" s="4">
        <v>45994</v>
      </c>
      <c r="B5" s="3" t="s">
        <v>19</v>
      </c>
      <c r="C5" s="2">
        <v>20</v>
      </c>
    </row>
    <row r="6" spans="1:3" x14ac:dyDescent="0.3">
      <c r="A6" s="4">
        <v>45995</v>
      </c>
      <c r="B6" s="3" t="s">
        <v>22</v>
      </c>
      <c r="C6" s="2">
        <v>40</v>
      </c>
    </row>
    <row r="7" spans="1:3" x14ac:dyDescent="0.3">
      <c r="A7" s="4">
        <v>45995</v>
      </c>
      <c r="B7" s="3" t="s">
        <v>26</v>
      </c>
      <c r="C7" s="2">
        <v>100</v>
      </c>
    </row>
    <row r="8" spans="1:3" x14ac:dyDescent="0.3">
      <c r="A8" s="4">
        <v>45996</v>
      </c>
      <c r="B8" s="3" t="s">
        <v>28</v>
      </c>
      <c r="C8" s="2">
        <v>60</v>
      </c>
    </row>
    <row r="9" spans="1:3" x14ac:dyDescent="0.3">
      <c r="A9" s="4">
        <v>45996</v>
      </c>
      <c r="B9" s="3" t="s">
        <v>30</v>
      </c>
      <c r="C9" s="2">
        <v>15</v>
      </c>
    </row>
    <row r="10" spans="1:3" x14ac:dyDescent="0.3">
      <c r="A10" s="4">
        <v>45997</v>
      </c>
      <c r="B10" s="3" t="s">
        <v>33</v>
      </c>
      <c r="C10" s="2">
        <v>2</v>
      </c>
    </row>
    <row r="11" spans="1:3" x14ac:dyDescent="0.3">
      <c r="A11" s="4">
        <v>45997</v>
      </c>
      <c r="B11" s="3" t="s">
        <v>9</v>
      </c>
      <c r="C11" s="2">
        <v>20</v>
      </c>
    </row>
    <row r="12" spans="1:3" x14ac:dyDescent="0.3">
      <c r="A12" s="4">
        <v>45998</v>
      </c>
      <c r="B12" s="3" t="s">
        <v>22</v>
      </c>
      <c r="C12" s="2">
        <v>8</v>
      </c>
    </row>
    <row r="13" spans="1:3" x14ac:dyDescent="0.3">
      <c r="A13" s="4">
        <v>45998</v>
      </c>
      <c r="B13" s="3" t="s">
        <v>22</v>
      </c>
      <c r="C13" s="2">
        <v>6</v>
      </c>
    </row>
    <row r="14" spans="1:3" x14ac:dyDescent="0.3">
      <c r="A14" s="4">
        <v>45999</v>
      </c>
      <c r="B14" s="3" t="s">
        <v>33</v>
      </c>
      <c r="C14" s="2">
        <v>30</v>
      </c>
    </row>
    <row r="15" spans="1:3" x14ac:dyDescent="0.3">
      <c r="A15" s="4">
        <v>45999</v>
      </c>
      <c r="B15" s="3" t="s">
        <v>6</v>
      </c>
      <c r="C15" s="2">
        <v>25</v>
      </c>
    </row>
    <row r="16" spans="1:3" x14ac:dyDescent="0.3">
      <c r="A16" s="4">
        <v>46000</v>
      </c>
      <c r="B16" s="3" t="s">
        <v>50</v>
      </c>
      <c r="C16" s="2">
        <v>50</v>
      </c>
    </row>
    <row r="17" spans="1:3" x14ac:dyDescent="0.3">
      <c r="A17" s="4">
        <v>46000</v>
      </c>
      <c r="B17" s="3" t="s">
        <v>38</v>
      </c>
      <c r="C17" s="2">
        <v>45</v>
      </c>
    </row>
    <row r="18" spans="1:3" x14ac:dyDescent="0.3">
      <c r="A18" s="4">
        <v>46001</v>
      </c>
      <c r="B18" s="3" t="s">
        <v>38</v>
      </c>
      <c r="C18" s="2">
        <v>35</v>
      </c>
    </row>
    <row r="19" spans="1:3" x14ac:dyDescent="0.3">
      <c r="A19" s="4">
        <v>46001</v>
      </c>
      <c r="B19" s="3" t="s">
        <v>22</v>
      </c>
      <c r="C19" s="2">
        <v>28</v>
      </c>
    </row>
    <row r="20" spans="1:3" x14ac:dyDescent="0.3">
      <c r="A20" s="4">
        <v>46002</v>
      </c>
      <c r="B20" s="3" t="s">
        <v>43</v>
      </c>
      <c r="C20" s="2">
        <v>20</v>
      </c>
    </row>
    <row r="21" spans="1:3" x14ac:dyDescent="0.3">
      <c r="A21" s="4">
        <v>46002</v>
      </c>
      <c r="B21" s="3" t="s">
        <v>36</v>
      </c>
      <c r="C21" s="2">
        <v>40</v>
      </c>
    </row>
    <row r="22" spans="1:3" x14ac:dyDescent="0.3">
      <c r="A22" s="4">
        <v>46002</v>
      </c>
      <c r="B22" s="3" t="s">
        <v>40</v>
      </c>
      <c r="C22" s="2">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DEA35-6DDE-4390-81BB-8F2C02F101FB}">
  <dimension ref="A1:O45"/>
  <sheetViews>
    <sheetView topLeftCell="A3" workbookViewId="0">
      <selection activeCell="V17" sqref="V17"/>
    </sheetView>
  </sheetViews>
  <sheetFormatPr defaultRowHeight="14.4" x14ac:dyDescent="0.3"/>
  <cols>
    <col min="1" max="1" width="12.5546875" bestFit="1" customWidth="1"/>
    <col min="2" max="2" width="18.6640625" bestFit="1" customWidth="1"/>
    <col min="3" max="3" width="16.5546875" bestFit="1" customWidth="1"/>
    <col min="4" max="4" width="15.44140625" bestFit="1" customWidth="1"/>
    <col min="5" max="5" width="13.44140625" bestFit="1" customWidth="1"/>
    <col min="6" max="6" width="9.88671875" bestFit="1" customWidth="1"/>
    <col min="7" max="7" width="12.5546875" bestFit="1" customWidth="1"/>
    <col min="8" max="8" width="12.21875" bestFit="1" customWidth="1"/>
    <col min="9" max="9" width="17.88671875" bestFit="1" customWidth="1"/>
    <col min="10" max="10" width="19.33203125" bestFit="1" customWidth="1"/>
    <col min="11" max="11" width="10.77734375" bestFit="1" customWidth="1"/>
    <col min="13" max="13" width="19.109375" bestFit="1" customWidth="1"/>
    <col min="14" max="14" width="22.44140625" bestFit="1" customWidth="1"/>
    <col min="15" max="15" width="13" bestFit="1" customWidth="1"/>
  </cols>
  <sheetData>
    <row r="1" spans="1:15" x14ac:dyDescent="0.3">
      <c r="A1" s="7" t="s">
        <v>0</v>
      </c>
      <c r="B1" t="s">
        <v>59</v>
      </c>
      <c r="C1" t="s">
        <v>60</v>
      </c>
      <c r="D1" t="s">
        <v>58</v>
      </c>
      <c r="E1" t="s">
        <v>57</v>
      </c>
      <c r="F1" t="s">
        <v>2</v>
      </c>
      <c r="G1" t="s">
        <v>3</v>
      </c>
      <c r="H1" t="s">
        <v>56</v>
      </c>
      <c r="I1" t="s">
        <v>55</v>
      </c>
      <c r="J1" t="s">
        <v>61</v>
      </c>
      <c r="K1" t="s">
        <v>62</v>
      </c>
      <c r="M1" t="s">
        <v>63</v>
      </c>
      <c r="N1">
        <f>GETPIVOTDATA("ItemName",$I$21)</f>
        <v>14</v>
      </c>
    </row>
    <row r="2" spans="1:15" x14ac:dyDescent="0.3">
      <c r="A2" s="8" t="s">
        <v>6</v>
      </c>
      <c r="B2">
        <f>SUMIFS(PurchaseData[Quantity_Purchased], PurchaseData[Item_ID], A2)</f>
        <v>75</v>
      </c>
      <c r="C2">
        <f>SUMIFS(SalesData[Quantity_Sold], SalesData[Item_ID], A2)</f>
        <v>72</v>
      </c>
      <c r="D2">
        <f>IFERROR(B2 - C2, 0)</f>
        <v>3</v>
      </c>
      <c r="E2" t="str">
        <f>_xlfn.XLOOKUP(A2, InventoryData[Item_ID], InventoryData[Item_Name])</f>
        <v>Mouse</v>
      </c>
      <c r="F2" t="str">
        <f>_xlfn.XLOOKUP(A2, InventoryData[Item_ID], InventoryData[Category])</f>
        <v>Electronics</v>
      </c>
      <c r="G2" t="str">
        <f>_xlfn.XLOOKUP(A2, InventoryData[Item_ID],InventoryData[Supplier])</f>
        <v>HP</v>
      </c>
      <c r="H2">
        <f>_xlfn.XLOOKUP(A2, InventoryData[Item_ID], InventoryData[Reorder_Level])</f>
        <v>15</v>
      </c>
      <c r="I2" t="str">
        <f>IF(D2&lt;=H2,"LOW STOCK","OK")</f>
        <v>LOW STOCK</v>
      </c>
      <c r="J2">
        <f>_xlfn.XLOOKUP(A2, InventoryData[Item_ID], InventoryData[Unit_Cost])</f>
        <v>500</v>
      </c>
      <c r="K2">
        <f>D2*J2</f>
        <v>1500</v>
      </c>
      <c r="M2" t="s">
        <v>64</v>
      </c>
      <c r="N2">
        <f>GETPIVOTDATA("CurrentStock",$I$18)</f>
        <v>287</v>
      </c>
    </row>
    <row r="3" spans="1:15" x14ac:dyDescent="0.3">
      <c r="A3" s="9" t="s">
        <v>9</v>
      </c>
      <c r="B3">
        <f>SUMIFS(PurchaseData[Quantity_Purchased], PurchaseData[Item_ID], A3)</f>
        <v>50</v>
      </c>
      <c r="C3">
        <f>SUMIFS(SalesData[Quantity_Sold], SalesData[Item_ID], A3)</f>
        <v>42</v>
      </c>
      <c r="D3">
        <f t="shared" ref="D3:D15" si="0">IFERROR(B3 - C3, 0)</f>
        <v>8</v>
      </c>
      <c r="E3" t="str">
        <f>_xlfn.XLOOKUP(A3, InventoryData[Item_ID], InventoryData[Item_Name])</f>
        <v>Keyboard</v>
      </c>
      <c r="F3" t="str">
        <f>_xlfn.XLOOKUP(A3, InventoryData[Item_ID], InventoryData[Category])</f>
        <v>Electronics</v>
      </c>
      <c r="G3" t="str">
        <f>_xlfn.XLOOKUP(A3, InventoryData[Item_ID],InventoryData[Supplier])</f>
        <v>HP</v>
      </c>
      <c r="H3">
        <f>_xlfn.XLOOKUP(A3, InventoryData[Item_ID], InventoryData[Reorder_Level])</f>
        <v>15</v>
      </c>
      <c r="I3" t="str">
        <f t="shared" ref="I3:I15" si="1">IF(D3&lt;=H3,"LOW STOCK","OK")</f>
        <v>LOW STOCK</v>
      </c>
      <c r="J3">
        <f>_xlfn.XLOOKUP(A3, InventoryData[Item_ID], InventoryData[Unit_Cost])</f>
        <v>700</v>
      </c>
      <c r="K3">
        <f t="shared" ref="K3:K15" si="2">D3*J3</f>
        <v>5600</v>
      </c>
      <c r="M3" t="s">
        <v>65</v>
      </c>
      <c r="N3" s="11">
        <f>GETPIVOTDATA("StockValue",$J$18)</f>
        <v>1157300</v>
      </c>
    </row>
    <row r="4" spans="1:15" x14ac:dyDescent="0.3">
      <c r="A4" s="8" t="s">
        <v>16</v>
      </c>
      <c r="B4">
        <f>SUMIFS(PurchaseData[Quantity_Purchased], PurchaseData[Item_ID], A4)</f>
        <v>60</v>
      </c>
      <c r="C4">
        <f>SUMIFS(SalesData[Quantity_Sold], SalesData[Item_ID], A4)</f>
        <v>30</v>
      </c>
      <c r="D4">
        <f t="shared" si="0"/>
        <v>30</v>
      </c>
      <c r="E4" t="str">
        <f>_xlfn.XLOOKUP(A4, InventoryData[Item_ID], InventoryData[Item_Name])</f>
        <v>Monitor 22"</v>
      </c>
      <c r="F4" t="str">
        <f>_xlfn.XLOOKUP(A4, InventoryData[Item_ID], InventoryData[Category])</f>
        <v>Electronics</v>
      </c>
      <c r="G4" t="str">
        <f>_xlfn.XLOOKUP(A4, InventoryData[Item_ID],InventoryData[Supplier])</f>
        <v>Samsung</v>
      </c>
      <c r="H4">
        <f>_xlfn.XLOOKUP(A4, InventoryData[Item_ID], InventoryData[Reorder_Level])</f>
        <v>10</v>
      </c>
      <c r="I4" t="str">
        <f t="shared" si="1"/>
        <v>OK</v>
      </c>
      <c r="J4">
        <f>_xlfn.XLOOKUP(A4, InventoryData[Item_ID], InventoryData[Unit_Cost])</f>
        <v>8500</v>
      </c>
      <c r="K4">
        <f t="shared" si="2"/>
        <v>255000</v>
      </c>
      <c r="M4" t="s">
        <v>66</v>
      </c>
      <c r="N4">
        <f>GETPIVOTDATA("LowStockStatus",$N$14)</f>
        <v>7</v>
      </c>
    </row>
    <row r="5" spans="1:15" x14ac:dyDescent="0.3">
      <c r="A5" s="9" t="s">
        <v>19</v>
      </c>
      <c r="B5">
        <f>SUMIFS(PurchaseData[Quantity_Purchased], PurchaseData[Item_ID], A5)</f>
        <v>20</v>
      </c>
      <c r="C5">
        <f>SUMIFS(SalesData[Quantity_Sold], SalesData[Item_ID], A5)</f>
        <v>10</v>
      </c>
      <c r="D5">
        <f t="shared" si="0"/>
        <v>10</v>
      </c>
      <c r="E5" t="str">
        <f>_xlfn.XLOOKUP(A5, InventoryData[Item_ID], InventoryData[Item_Name])</f>
        <v>Monitor 24"</v>
      </c>
      <c r="F5" t="str">
        <f>_xlfn.XLOOKUP(A5, InventoryData[Item_ID], InventoryData[Category])</f>
        <v>Electronics</v>
      </c>
      <c r="G5" t="str">
        <f>_xlfn.XLOOKUP(A5, InventoryData[Item_ID],InventoryData[Supplier])</f>
        <v>LG</v>
      </c>
      <c r="H5">
        <f>_xlfn.XLOOKUP(A5, InventoryData[Item_ID], InventoryData[Reorder_Level])</f>
        <v>10</v>
      </c>
      <c r="I5" t="str">
        <f t="shared" si="1"/>
        <v>LOW STOCK</v>
      </c>
      <c r="J5">
        <f>_xlfn.XLOOKUP(A5, InventoryData[Item_ID], InventoryData[Unit_Cost])</f>
        <v>11000</v>
      </c>
      <c r="K5">
        <f t="shared" si="2"/>
        <v>110000</v>
      </c>
    </row>
    <row r="6" spans="1:15" x14ac:dyDescent="0.3">
      <c r="A6" s="8" t="s">
        <v>22</v>
      </c>
      <c r="B6">
        <f>SUMIFS(PurchaseData[Quantity_Purchased], PurchaseData[Item_ID], A6)</f>
        <v>82</v>
      </c>
      <c r="C6">
        <f>SUMIFS(SalesData[Quantity_Sold], SalesData[Item_ID], A6)</f>
        <v>24</v>
      </c>
      <c r="D6">
        <f t="shared" si="0"/>
        <v>58</v>
      </c>
      <c r="E6" t="str">
        <f>_xlfn.XLOOKUP(A6, InventoryData[Item_ID], InventoryData[Item_Name])</f>
        <v>Laptop Bag</v>
      </c>
      <c r="F6" t="str">
        <f>_xlfn.XLOOKUP(A6, InventoryData[Item_ID], InventoryData[Category])</f>
        <v>Accessories</v>
      </c>
      <c r="G6" t="str">
        <f>_xlfn.XLOOKUP(A6, InventoryData[Item_ID],InventoryData[Supplier])</f>
        <v>Targus</v>
      </c>
      <c r="H6">
        <f>_xlfn.XLOOKUP(A6, InventoryData[Item_ID], InventoryData[Reorder_Level])</f>
        <v>25</v>
      </c>
      <c r="I6" t="str">
        <f t="shared" si="1"/>
        <v>OK</v>
      </c>
      <c r="J6">
        <f>_xlfn.XLOOKUP(A6, InventoryData[Item_ID], InventoryData[Unit_Cost])</f>
        <v>1200</v>
      </c>
      <c r="K6">
        <f t="shared" si="2"/>
        <v>69600</v>
      </c>
    </row>
    <row r="7" spans="1:15" x14ac:dyDescent="0.3">
      <c r="A7" s="9" t="s">
        <v>26</v>
      </c>
      <c r="B7">
        <f>SUMIFS(PurchaseData[Quantity_Purchased], PurchaseData[Item_ID], A7)</f>
        <v>100</v>
      </c>
      <c r="C7">
        <f>SUMIFS(SalesData[Quantity_Sold], SalesData[Item_ID], A7)</f>
        <v>56</v>
      </c>
      <c r="D7">
        <f t="shared" si="0"/>
        <v>44</v>
      </c>
      <c r="E7" t="str">
        <f>_xlfn.XLOOKUP(A7, InventoryData[Item_ID], InventoryData[Item_Name])</f>
        <v>USB Cable</v>
      </c>
      <c r="F7" t="str">
        <f>_xlfn.XLOOKUP(A7, InventoryData[Item_ID], InventoryData[Category])</f>
        <v>Accessories</v>
      </c>
      <c r="G7" t="str">
        <f>_xlfn.XLOOKUP(A7, InventoryData[Item_ID],InventoryData[Supplier])</f>
        <v>Sony</v>
      </c>
      <c r="H7">
        <f>_xlfn.XLOOKUP(A7, InventoryData[Item_ID], InventoryData[Reorder_Level])</f>
        <v>50</v>
      </c>
      <c r="I7" t="str">
        <f t="shared" si="1"/>
        <v>LOW STOCK</v>
      </c>
      <c r="J7">
        <f>_xlfn.XLOOKUP(A7, InventoryData[Item_ID], InventoryData[Unit_Cost])</f>
        <v>250</v>
      </c>
      <c r="K7">
        <f t="shared" si="2"/>
        <v>11000</v>
      </c>
    </row>
    <row r="8" spans="1:15" x14ac:dyDescent="0.3">
      <c r="A8" s="8" t="s">
        <v>28</v>
      </c>
      <c r="B8">
        <f>SUMIFS(PurchaseData[Quantity_Purchased], PurchaseData[Item_ID], A8)</f>
        <v>60</v>
      </c>
      <c r="C8">
        <f>SUMIFS(SalesData[Quantity_Sold], SalesData[Item_ID], A8)</f>
        <v>18</v>
      </c>
      <c r="D8">
        <f t="shared" si="0"/>
        <v>42</v>
      </c>
      <c r="E8" t="str">
        <f>_xlfn.XLOOKUP(A8, InventoryData[Item_ID], InventoryData[Item_Name])</f>
        <v>HDMI Cable</v>
      </c>
      <c r="F8" t="str">
        <f>_xlfn.XLOOKUP(A8, InventoryData[Item_ID], InventoryData[Category])</f>
        <v>Accessories</v>
      </c>
      <c r="G8" t="str">
        <f>_xlfn.XLOOKUP(A8, InventoryData[Item_ID],InventoryData[Supplier])</f>
        <v>Sony</v>
      </c>
      <c r="H8">
        <f>_xlfn.XLOOKUP(A8, InventoryData[Item_ID], InventoryData[Reorder_Level])</f>
        <v>40</v>
      </c>
      <c r="I8" t="str">
        <f t="shared" si="1"/>
        <v>OK</v>
      </c>
      <c r="J8">
        <f>_xlfn.XLOOKUP(A8, InventoryData[Item_ID], InventoryData[Unit_Cost])</f>
        <v>400</v>
      </c>
      <c r="K8">
        <f t="shared" si="2"/>
        <v>16800</v>
      </c>
    </row>
    <row r="9" spans="1:15" x14ac:dyDescent="0.3">
      <c r="A9" s="9" t="s">
        <v>30</v>
      </c>
      <c r="B9">
        <f>SUMIFS(PurchaseData[Quantity_Purchased], PurchaseData[Item_ID], A9)</f>
        <v>15</v>
      </c>
      <c r="C9">
        <f>SUMIFS(SalesData[Quantity_Sold], SalesData[Item_ID], A9)</f>
        <v>6</v>
      </c>
      <c r="D9">
        <f t="shared" si="0"/>
        <v>9</v>
      </c>
      <c r="E9" t="str">
        <f>_xlfn.XLOOKUP(A9, InventoryData[Item_ID], InventoryData[Item_Name])</f>
        <v>Webcam</v>
      </c>
      <c r="F9" t="str">
        <f>_xlfn.XLOOKUP(A9, InventoryData[Item_ID], InventoryData[Category])</f>
        <v>Electronics</v>
      </c>
      <c r="G9" t="str">
        <f>_xlfn.XLOOKUP(A9, InventoryData[Item_ID],InventoryData[Supplier])</f>
        <v>Logitech</v>
      </c>
      <c r="H9">
        <f>_xlfn.XLOOKUP(A9, InventoryData[Item_ID], InventoryData[Reorder_Level])</f>
        <v>10</v>
      </c>
      <c r="I9" t="str">
        <f t="shared" si="1"/>
        <v>LOW STOCK</v>
      </c>
      <c r="J9">
        <f>_xlfn.XLOOKUP(A9, InventoryData[Item_ID], InventoryData[Unit_Cost])</f>
        <v>3500</v>
      </c>
      <c r="K9">
        <f t="shared" si="2"/>
        <v>31500</v>
      </c>
    </row>
    <row r="10" spans="1:15" x14ac:dyDescent="0.3">
      <c r="A10" s="8" t="s">
        <v>33</v>
      </c>
      <c r="B10">
        <f>SUMIFS(PurchaseData[Quantity_Purchased], PurchaseData[Item_ID], A10)</f>
        <v>32</v>
      </c>
      <c r="C10">
        <f>SUMIFS(SalesData[Quantity_Sold], SalesData[Item_ID], A10)</f>
        <v>7</v>
      </c>
      <c r="D10">
        <f t="shared" si="0"/>
        <v>25</v>
      </c>
      <c r="E10" t="str">
        <f>_xlfn.XLOOKUP(A10, InventoryData[Item_ID], InventoryData[Item_Name])</f>
        <v>Headphones</v>
      </c>
      <c r="F10" t="str">
        <f>_xlfn.XLOOKUP(A10, InventoryData[Item_ID], InventoryData[Category])</f>
        <v>Electronics</v>
      </c>
      <c r="G10" t="str">
        <f>_xlfn.XLOOKUP(A10, InventoryData[Item_ID],InventoryData[Supplier])</f>
        <v>Sony</v>
      </c>
      <c r="H10">
        <f>_xlfn.XLOOKUP(A10, InventoryData[Item_ID], InventoryData[Reorder_Level])</f>
        <v>15</v>
      </c>
      <c r="I10" t="str">
        <f t="shared" si="1"/>
        <v>OK</v>
      </c>
      <c r="J10">
        <f>_xlfn.XLOOKUP(A10, InventoryData[Item_ID], InventoryData[Unit_Cost])</f>
        <v>4500</v>
      </c>
      <c r="K10">
        <f t="shared" si="2"/>
        <v>112500</v>
      </c>
    </row>
    <row r="11" spans="1:15" x14ac:dyDescent="0.3">
      <c r="A11" s="9" t="s">
        <v>36</v>
      </c>
      <c r="B11">
        <f>SUMIFS(PurchaseData[Quantity_Purchased], PurchaseData[Item_ID], A11)</f>
        <v>40</v>
      </c>
      <c r="C11">
        <f>SUMIFS(SalesData[Quantity_Sold], SalesData[Item_ID], A11)</f>
        <v>19</v>
      </c>
      <c r="D11">
        <f t="shared" si="0"/>
        <v>21</v>
      </c>
      <c r="E11" t="str">
        <f>_xlfn.XLOOKUP(A11, InventoryData[Item_ID], InventoryData[Item_Name])</f>
        <v>Speakers</v>
      </c>
      <c r="F11" t="str">
        <f>_xlfn.XLOOKUP(A11, InventoryData[Item_ID], InventoryData[Category])</f>
        <v>Electronics</v>
      </c>
      <c r="G11" t="str">
        <f>_xlfn.XLOOKUP(A11, InventoryData[Item_ID],InventoryData[Supplier])</f>
        <v>Sony</v>
      </c>
      <c r="H11">
        <f>_xlfn.XLOOKUP(A11, InventoryData[Item_ID], InventoryData[Reorder_Level])</f>
        <v>10</v>
      </c>
      <c r="I11" t="str">
        <f t="shared" si="1"/>
        <v>OK</v>
      </c>
      <c r="J11">
        <f>_xlfn.XLOOKUP(A11, InventoryData[Item_ID], InventoryData[Unit_Cost])</f>
        <v>6000</v>
      </c>
      <c r="K11">
        <f t="shared" si="2"/>
        <v>126000</v>
      </c>
    </row>
    <row r="12" spans="1:15" x14ac:dyDescent="0.3">
      <c r="A12" s="8" t="s">
        <v>38</v>
      </c>
      <c r="B12">
        <f>SUMIFS(PurchaseData[Quantity_Purchased], PurchaseData[Item_ID], A12)</f>
        <v>80</v>
      </c>
      <c r="C12">
        <f>SUMIFS(SalesData[Quantity_Sold], SalesData[Item_ID], A12)</f>
        <v>57</v>
      </c>
      <c r="D12">
        <f t="shared" si="0"/>
        <v>23</v>
      </c>
      <c r="E12" t="str">
        <f>_xlfn.XLOOKUP(A12, InventoryData[Item_ID], InventoryData[Item_Name])</f>
        <v>Printer</v>
      </c>
      <c r="F12" t="str">
        <f>_xlfn.XLOOKUP(A12, InventoryData[Item_ID], InventoryData[Category])</f>
        <v>Electronics</v>
      </c>
      <c r="G12" t="str">
        <f>_xlfn.XLOOKUP(A12, InventoryData[Item_ID],InventoryData[Supplier])</f>
        <v>HP</v>
      </c>
      <c r="H12">
        <f>_xlfn.XLOOKUP(A12, InventoryData[Item_ID], InventoryData[Reorder_Level])</f>
        <v>8</v>
      </c>
      <c r="I12" t="str">
        <f t="shared" si="1"/>
        <v>OK</v>
      </c>
      <c r="J12">
        <f>_xlfn.XLOOKUP(A12, InventoryData[Item_ID], InventoryData[Unit_Cost])</f>
        <v>15000</v>
      </c>
      <c r="K12">
        <f t="shared" si="2"/>
        <v>345000</v>
      </c>
      <c r="N12" s="5" t="s">
        <v>55</v>
      </c>
      <c r="O12" t="s">
        <v>68</v>
      </c>
    </row>
    <row r="13" spans="1:15" x14ac:dyDescent="0.3">
      <c r="A13" s="9" t="s">
        <v>40</v>
      </c>
      <c r="B13">
        <f>SUMIFS(PurchaseData[Quantity_Purchased], PurchaseData[Item_ID], A13)</f>
        <v>1</v>
      </c>
      <c r="C13">
        <f>SUMIFS(SalesData[Quantity_Sold], SalesData[Item_ID], A13)</f>
        <v>1</v>
      </c>
      <c r="D13">
        <f t="shared" si="0"/>
        <v>0</v>
      </c>
      <c r="E13" t="str">
        <f>_xlfn.XLOOKUP(A13, InventoryData[Item_ID], InventoryData[Item_Name])</f>
        <v>Scanner</v>
      </c>
      <c r="F13" t="str">
        <f>_xlfn.XLOOKUP(A13, InventoryData[Item_ID], InventoryData[Category])</f>
        <v>Electronics</v>
      </c>
      <c r="G13" t="str">
        <f>_xlfn.XLOOKUP(A13, InventoryData[Item_ID],InventoryData[Supplier])</f>
        <v>Canon</v>
      </c>
      <c r="H13">
        <f>_xlfn.XLOOKUP(A13, InventoryData[Item_ID], InventoryData[Reorder_Level])</f>
        <v>6</v>
      </c>
      <c r="I13" t="str">
        <f t="shared" si="1"/>
        <v>LOW STOCK</v>
      </c>
      <c r="J13">
        <f>_xlfn.XLOOKUP(A13, InventoryData[Item_ID], InventoryData[Unit_Cost])</f>
        <v>14000</v>
      </c>
      <c r="K13">
        <f t="shared" si="2"/>
        <v>0</v>
      </c>
    </row>
    <row r="14" spans="1:15" x14ac:dyDescent="0.3">
      <c r="A14" s="8" t="s">
        <v>43</v>
      </c>
      <c r="B14">
        <f>SUMIFS(PurchaseData[Quantity_Purchased], PurchaseData[Item_ID], A14)</f>
        <v>20</v>
      </c>
      <c r="C14">
        <f>SUMIFS(SalesData[Quantity_Sold], SalesData[Item_ID], A14)</f>
        <v>6</v>
      </c>
      <c r="D14">
        <f t="shared" si="0"/>
        <v>14</v>
      </c>
      <c r="E14" t="str">
        <f>_xlfn.XLOOKUP(A14, InventoryData[Item_ID], InventoryData[Item_Name])</f>
        <v>External HDD 1TB</v>
      </c>
      <c r="F14" t="str">
        <f>_xlfn.XLOOKUP(A14, InventoryData[Item_ID], InventoryData[Category])</f>
        <v>Storage</v>
      </c>
      <c r="G14" t="str">
        <f>_xlfn.XLOOKUP(A14, InventoryData[Item_ID],InventoryData[Supplier])</f>
        <v>Seagate</v>
      </c>
      <c r="H14">
        <f>_xlfn.XLOOKUP(A14, InventoryData[Item_ID], InventoryData[Reorder_Level])</f>
        <v>12</v>
      </c>
      <c r="I14" t="str">
        <f t="shared" si="1"/>
        <v>OK</v>
      </c>
      <c r="J14">
        <f>_xlfn.XLOOKUP(A14, InventoryData[Item_ID], InventoryData[Unit_Cost])</f>
        <v>5200</v>
      </c>
      <c r="K14">
        <f t="shared" si="2"/>
        <v>72800</v>
      </c>
      <c r="N14" t="s">
        <v>72</v>
      </c>
    </row>
    <row r="15" spans="1:15" x14ac:dyDescent="0.3">
      <c r="A15" s="10" t="s">
        <v>47</v>
      </c>
      <c r="B15">
        <f>SUMIFS(PurchaseData[Quantity_Purchased], PurchaseData[Item_ID], A15)</f>
        <v>0</v>
      </c>
      <c r="C15">
        <f>SUMIFS(SalesData[Quantity_Sold], SalesData[Item_ID], A15)</f>
        <v>0</v>
      </c>
      <c r="D15">
        <f t="shared" si="0"/>
        <v>0</v>
      </c>
      <c r="E15" t="str">
        <f>_xlfn.XLOOKUP(A15, InventoryData[Item_ID], InventoryData[Item_Name])</f>
        <v>External HDD 2TB</v>
      </c>
      <c r="F15" t="str">
        <f>_xlfn.XLOOKUP(A15, InventoryData[Item_ID], InventoryData[Category])</f>
        <v>Storage</v>
      </c>
      <c r="G15" t="str">
        <f>_xlfn.XLOOKUP(A15, InventoryData[Item_ID],InventoryData[Supplier])</f>
        <v>WD</v>
      </c>
      <c r="H15">
        <f>_xlfn.XLOOKUP(A15, InventoryData[Item_ID], InventoryData[Reorder_Level])</f>
        <v>10</v>
      </c>
      <c r="I15" t="str">
        <f t="shared" si="1"/>
        <v>LOW STOCK</v>
      </c>
      <c r="J15">
        <f>_xlfn.XLOOKUP(A15, InventoryData[Item_ID], InventoryData[Unit_Cost])</f>
        <v>7500</v>
      </c>
      <c r="K15">
        <f t="shared" si="2"/>
        <v>0</v>
      </c>
      <c r="N15" s="12">
        <v>7</v>
      </c>
    </row>
    <row r="18" spans="1:12" x14ac:dyDescent="0.3">
      <c r="A18" s="5" t="s">
        <v>51</v>
      </c>
      <c r="B18" t="s">
        <v>67</v>
      </c>
      <c r="D18" s="5" t="s">
        <v>51</v>
      </c>
      <c r="E18" t="s">
        <v>69</v>
      </c>
      <c r="F18" t="s">
        <v>70</v>
      </c>
      <c r="I18" t="s">
        <v>71</v>
      </c>
      <c r="J18" t="s">
        <v>65</v>
      </c>
      <c r="L18">
        <f>COUNTIFS(I2:I15,"LOW STOCK")</f>
        <v>7</v>
      </c>
    </row>
    <row r="19" spans="1:12" x14ac:dyDescent="0.3">
      <c r="A19" s="6" t="s">
        <v>44</v>
      </c>
      <c r="B19" s="12">
        <v>14</v>
      </c>
      <c r="D19" s="6" t="s">
        <v>44</v>
      </c>
      <c r="E19" s="12">
        <v>20</v>
      </c>
      <c r="F19" s="12">
        <v>6</v>
      </c>
      <c r="I19" s="12">
        <v>287</v>
      </c>
      <c r="J19" s="11">
        <v>1157300</v>
      </c>
    </row>
    <row r="20" spans="1:12" x14ac:dyDescent="0.3">
      <c r="A20" s="6" t="s">
        <v>48</v>
      </c>
      <c r="B20" s="12">
        <v>0</v>
      </c>
      <c r="D20" s="6" t="s">
        <v>48</v>
      </c>
      <c r="E20" s="12">
        <v>0</v>
      </c>
      <c r="F20" s="12">
        <v>0</v>
      </c>
    </row>
    <row r="21" spans="1:12" x14ac:dyDescent="0.3">
      <c r="A21" s="6" t="s">
        <v>29</v>
      </c>
      <c r="B21" s="12">
        <v>42</v>
      </c>
      <c r="D21" s="6" t="s">
        <v>29</v>
      </c>
      <c r="E21" s="12">
        <v>60</v>
      </c>
      <c r="F21" s="12">
        <v>18</v>
      </c>
      <c r="I21" t="s">
        <v>73</v>
      </c>
    </row>
    <row r="22" spans="1:12" x14ac:dyDescent="0.3">
      <c r="A22" s="6" t="s">
        <v>34</v>
      </c>
      <c r="B22" s="12">
        <v>25</v>
      </c>
      <c r="D22" s="6" t="s">
        <v>34</v>
      </c>
      <c r="E22" s="12">
        <v>32</v>
      </c>
      <c r="F22" s="12">
        <v>7</v>
      </c>
      <c r="I22" s="12">
        <v>14</v>
      </c>
    </row>
    <row r="23" spans="1:12" x14ac:dyDescent="0.3">
      <c r="A23" s="6" t="s">
        <v>10</v>
      </c>
      <c r="B23" s="12">
        <v>8</v>
      </c>
      <c r="D23" s="6" t="s">
        <v>10</v>
      </c>
      <c r="E23" s="12">
        <v>50</v>
      </c>
      <c r="F23" s="12">
        <v>42</v>
      </c>
    </row>
    <row r="24" spans="1:12" x14ac:dyDescent="0.3">
      <c r="A24" s="6" t="s">
        <v>23</v>
      </c>
      <c r="B24" s="12">
        <v>58</v>
      </c>
      <c r="D24" s="6" t="s">
        <v>23</v>
      </c>
      <c r="E24" s="12">
        <v>82</v>
      </c>
      <c r="F24" s="12">
        <v>24</v>
      </c>
    </row>
    <row r="25" spans="1:12" x14ac:dyDescent="0.3">
      <c r="A25" s="6" t="s">
        <v>17</v>
      </c>
      <c r="B25" s="12">
        <v>30</v>
      </c>
      <c r="D25" s="6" t="s">
        <v>17</v>
      </c>
      <c r="E25" s="12">
        <v>60</v>
      </c>
      <c r="F25" s="12">
        <v>30</v>
      </c>
    </row>
    <row r="26" spans="1:12" x14ac:dyDescent="0.3">
      <c r="A26" s="6" t="s">
        <v>20</v>
      </c>
      <c r="B26" s="12">
        <v>10</v>
      </c>
      <c r="D26" s="6" t="s">
        <v>20</v>
      </c>
      <c r="E26" s="12">
        <v>20</v>
      </c>
      <c r="F26" s="12">
        <v>10</v>
      </c>
    </row>
    <row r="27" spans="1:12" x14ac:dyDescent="0.3">
      <c r="A27" s="6" t="s">
        <v>7</v>
      </c>
      <c r="B27" s="12">
        <v>3</v>
      </c>
      <c r="D27" s="6" t="s">
        <v>7</v>
      </c>
      <c r="E27" s="12">
        <v>75</v>
      </c>
      <c r="F27" s="12">
        <v>72</v>
      </c>
    </row>
    <row r="28" spans="1:12" x14ac:dyDescent="0.3">
      <c r="A28" s="6" t="s">
        <v>39</v>
      </c>
      <c r="B28" s="12">
        <v>23</v>
      </c>
      <c r="D28" s="6" t="s">
        <v>39</v>
      </c>
      <c r="E28" s="12">
        <v>80</v>
      </c>
      <c r="F28" s="12">
        <v>57</v>
      </c>
    </row>
    <row r="29" spans="1:12" x14ac:dyDescent="0.3">
      <c r="A29" s="6" t="s">
        <v>41</v>
      </c>
      <c r="B29" s="12">
        <v>0</v>
      </c>
      <c r="D29" s="6" t="s">
        <v>41</v>
      </c>
      <c r="E29" s="12">
        <v>1</v>
      </c>
      <c r="F29" s="12">
        <v>1</v>
      </c>
    </row>
    <row r="30" spans="1:12" x14ac:dyDescent="0.3">
      <c r="A30" s="6" t="s">
        <v>37</v>
      </c>
      <c r="B30" s="12">
        <v>21</v>
      </c>
      <c r="D30" s="6" t="s">
        <v>37</v>
      </c>
      <c r="E30" s="12">
        <v>40</v>
      </c>
      <c r="F30" s="12">
        <v>19</v>
      </c>
    </row>
    <row r="31" spans="1:12" x14ac:dyDescent="0.3">
      <c r="A31" s="6" t="s">
        <v>27</v>
      </c>
      <c r="B31" s="12">
        <v>44</v>
      </c>
      <c r="D31" s="6" t="s">
        <v>27</v>
      </c>
      <c r="E31" s="12">
        <v>100</v>
      </c>
      <c r="F31" s="12">
        <v>56</v>
      </c>
    </row>
    <row r="32" spans="1:12" x14ac:dyDescent="0.3">
      <c r="A32" s="6" t="s">
        <v>31</v>
      </c>
      <c r="B32" s="12">
        <v>9</v>
      </c>
      <c r="D32" s="6" t="s">
        <v>31</v>
      </c>
      <c r="E32" s="12">
        <v>15</v>
      </c>
      <c r="F32" s="12">
        <v>6</v>
      </c>
    </row>
    <row r="33" spans="1:6" x14ac:dyDescent="0.3">
      <c r="A33" s="6" t="s">
        <v>52</v>
      </c>
      <c r="B33" s="12">
        <v>287</v>
      </c>
      <c r="D33" s="6" t="s">
        <v>52</v>
      </c>
      <c r="E33" s="12">
        <v>635</v>
      </c>
      <c r="F33" s="12">
        <v>348</v>
      </c>
    </row>
    <row r="36" spans="1:6" x14ac:dyDescent="0.3">
      <c r="D36" s="5" t="s">
        <v>55</v>
      </c>
      <c r="E36" t="s">
        <v>68</v>
      </c>
    </row>
    <row r="38" spans="1:6" x14ac:dyDescent="0.3">
      <c r="A38" s="5" t="s">
        <v>51</v>
      </c>
      <c r="B38" t="s">
        <v>67</v>
      </c>
      <c r="D38" s="5" t="s">
        <v>57</v>
      </c>
      <c r="E38" t="s">
        <v>53</v>
      </c>
      <c r="F38" t="s">
        <v>54</v>
      </c>
    </row>
    <row r="39" spans="1:6" x14ac:dyDescent="0.3">
      <c r="A39" s="6" t="s">
        <v>24</v>
      </c>
      <c r="B39" s="12">
        <v>144</v>
      </c>
      <c r="D39" t="s">
        <v>48</v>
      </c>
      <c r="E39" s="12">
        <v>0</v>
      </c>
      <c r="F39" s="12">
        <v>10</v>
      </c>
    </row>
    <row r="40" spans="1:6" x14ac:dyDescent="0.3">
      <c r="A40" s="6" t="s">
        <v>8</v>
      </c>
      <c r="B40" s="12">
        <v>129</v>
      </c>
      <c r="D40" t="s">
        <v>10</v>
      </c>
      <c r="E40" s="12">
        <v>8</v>
      </c>
      <c r="F40" s="12">
        <v>15</v>
      </c>
    </row>
    <row r="41" spans="1:6" x14ac:dyDescent="0.3">
      <c r="A41" s="6" t="s">
        <v>45</v>
      </c>
      <c r="B41" s="12">
        <v>14</v>
      </c>
      <c r="D41" t="s">
        <v>20</v>
      </c>
      <c r="E41" s="12">
        <v>10</v>
      </c>
      <c r="F41" s="12">
        <v>10</v>
      </c>
    </row>
    <row r="42" spans="1:6" x14ac:dyDescent="0.3">
      <c r="A42" s="6" t="s">
        <v>52</v>
      </c>
      <c r="B42" s="12">
        <v>287</v>
      </c>
      <c r="D42" t="s">
        <v>7</v>
      </c>
      <c r="E42" s="12">
        <v>3</v>
      </c>
      <c r="F42" s="12">
        <v>15</v>
      </c>
    </row>
    <row r="43" spans="1:6" x14ac:dyDescent="0.3">
      <c r="D43" t="s">
        <v>41</v>
      </c>
      <c r="E43" s="12">
        <v>0</v>
      </c>
      <c r="F43" s="12">
        <v>6</v>
      </c>
    </row>
    <row r="44" spans="1:6" x14ac:dyDescent="0.3">
      <c r="D44" t="s">
        <v>27</v>
      </c>
      <c r="E44" s="12">
        <v>44</v>
      </c>
      <c r="F44" s="12">
        <v>50</v>
      </c>
    </row>
    <row r="45" spans="1:6" x14ac:dyDescent="0.3">
      <c r="D45" t="s">
        <v>31</v>
      </c>
      <c r="E45" s="12">
        <v>9</v>
      </c>
      <c r="F45" s="12">
        <v>10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7879-CF3C-44C5-890D-4E73A3957FE9}">
  <dimension ref="A1"/>
  <sheetViews>
    <sheetView showGridLines="0" tabSelected="1" zoomScale="95" zoomScaleNormal="73" workbookViewId="0">
      <selection activeCell="V17" sqref="V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Inventory</vt:lpstr>
      <vt:lpstr>Sales</vt:lpstr>
      <vt:lpstr>Purchase</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Pathre</dc:creator>
  <cp:lastModifiedBy>Payal Pathre</cp:lastModifiedBy>
  <dcterms:created xsi:type="dcterms:W3CDTF">2025-12-16T13:37:38Z</dcterms:created>
  <dcterms:modified xsi:type="dcterms:W3CDTF">2025-12-27T05:27:48Z</dcterms:modified>
</cp:coreProperties>
</file>