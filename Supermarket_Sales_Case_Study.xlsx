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yal\ItVedand\"/>
    </mc:Choice>
  </mc:AlternateContent>
  <xr:revisionPtr revIDLastSave="0" documentId="13_ncr:1_{FA8B1A51-7884-4323-A31E-88AECD781989}" xr6:coauthVersionLast="47" xr6:coauthVersionMax="47" xr10:uidLastSave="{00000000-0000-0000-0000-000000000000}"/>
  <bookViews>
    <workbookView xWindow="-108" yWindow="-108" windowWidth="23256" windowHeight="12456" xr2:uid="{A3B00800-A95E-40D5-BD7A-E9BD30DA3CB1}"/>
  </bookViews>
  <sheets>
    <sheet name="Sheet6" sheetId="7" r:id="rId1"/>
    <sheet name="Supermarket_Sales_Case_Study" sheetId="1" r:id="rId2"/>
    <sheet name="Sheet1" sheetId="2" r:id="rId3"/>
    <sheet name="Scenario Summary 2" sheetId="10" r:id="rId4"/>
    <sheet name="Whatif" sheetId="8" r:id="rId5"/>
  </sheets>
  <definedNames>
    <definedName name="BuyPrice">Whatif!$B$2</definedName>
    <definedName name="Profit">Whatif!$B$4</definedName>
    <definedName name="Sellprice">Whatif!$B$3</definedName>
    <definedName name="UnitSold">Whatif!$B$7</definedName>
  </definedNames>
  <calcPr calcId="191029"/>
  <pivotCaches>
    <pivotCache cacheId="5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" i="1" l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C4" i="8"/>
  <c r="C6" i="8" s="1"/>
  <c r="C8" i="8"/>
  <c r="M2" i="8"/>
  <c r="O3" i="1"/>
  <c r="O4" i="1"/>
  <c r="O8" i="1"/>
  <c r="O11" i="1"/>
  <c r="O20" i="1"/>
  <c r="O21" i="1"/>
  <c r="O22" i="1"/>
  <c r="O23" i="1"/>
  <c r="O24" i="1"/>
  <c r="O35" i="1"/>
  <c r="O36" i="1"/>
  <c r="O43" i="1"/>
  <c r="O44" i="1"/>
  <c r="O53" i="1"/>
  <c r="O54" i="1"/>
  <c r="O55" i="1"/>
  <c r="O56" i="1"/>
  <c r="O62" i="1"/>
  <c r="O68" i="1"/>
  <c r="O75" i="1"/>
  <c r="O76" i="1"/>
  <c r="O77" i="1"/>
  <c r="O94" i="1"/>
  <c r="O95" i="1"/>
  <c r="O107" i="1"/>
  <c r="O108" i="1"/>
  <c r="O109" i="1"/>
  <c r="O110" i="1"/>
  <c r="O126" i="1"/>
  <c r="O127" i="1"/>
  <c r="O128" i="1"/>
  <c r="O139" i="1"/>
  <c r="O140" i="1"/>
  <c r="O141" i="1"/>
  <c r="O142" i="1"/>
  <c r="O148" i="1"/>
  <c r="O158" i="1"/>
  <c r="O159" i="1"/>
  <c r="O160" i="1"/>
  <c r="O163" i="1"/>
  <c r="O172" i="1"/>
  <c r="O173" i="1"/>
  <c r="O174" i="1"/>
  <c r="O180" i="1"/>
  <c r="O181" i="1"/>
  <c r="O195" i="1"/>
  <c r="O196" i="1"/>
  <c r="O205" i="1"/>
  <c r="O206" i="1"/>
  <c r="O212" i="1"/>
  <c r="O213" i="1"/>
  <c r="O214" i="1"/>
  <c r="O227" i="1"/>
  <c r="O228" i="1"/>
  <c r="O232" i="1"/>
  <c r="O244" i="1"/>
  <c r="O245" i="1"/>
  <c r="O246" i="1"/>
  <c r="O247" i="1"/>
  <c r="O259" i="1"/>
  <c r="O260" i="1"/>
  <c r="O264" i="1"/>
  <c r="O267" i="1"/>
  <c r="O276" i="1"/>
  <c r="O277" i="1"/>
  <c r="O278" i="1"/>
  <c r="O279" i="1"/>
  <c r="O280" i="1"/>
  <c r="O291" i="1"/>
  <c r="O292" i="1"/>
  <c r="O299" i="1"/>
  <c r="O300" i="1"/>
  <c r="O309" i="1"/>
  <c r="O310" i="1"/>
  <c r="O311" i="1"/>
  <c r="O312" i="1"/>
  <c r="O318" i="1"/>
  <c r="O324" i="1"/>
  <c r="O331" i="1"/>
  <c r="O332" i="1"/>
  <c r="O333" i="1"/>
  <c r="O350" i="1"/>
  <c r="O351" i="1"/>
  <c r="O363" i="1"/>
  <c r="O364" i="1"/>
  <c r="O365" i="1"/>
  <c r="O366" i="1"/>
  <c r="O382" i="1"/>
  <c r="O383" i="1"/>
  <c r="O384" i="1"/>
  <c r="O395" i="1"/>
  <c r="O396" i="1"/>
  <c r="O397" i="1"/>
  <c r="O398" i="1"/>
  <c r="O404" i="1"/>
  <c r="O414" i="1"/>
  <c r="O415" i="1"/>
  <c r="O416" i="1"/>
  <c r="O419" i="1"/>
  <c r="O428" i="1"/>
  <c r="O429" i="1"/>
  <c r="O430" i="1"/>
  <c r="O436" i="1"/>
  <c r="O437" i="1"/>
  <c r="O451" i="1"/>
  <c r="O452" i="1"/>
  <c r="O461" i="1"/>
  <c r="O462" i="1"/>
  <c r="O468" i="1"/>
  <c r="O469" i="1"/>
  <c r="O470" i="1"/>
  <c r="O483" i="1"/>
  <c r="O484" i="1"/>
  <c r="O488" i="1"/>
  <c r="O500" i="1"/>
  <c r="O501" i="1"/>
  <c r="O502" i="1"/>
  <c r="O503" i="1"/>
  <c r="O515" i="1"/>
  <c r="O516" i="1"/>
  <c r="O520" i="1"/>
  <c r="O523" i="1"/>
  <c r="O532" i="1"/>
  <c r="O533" i="1"/>
  <c r="O534" i="1"/>
  <c r="O535" i="1"/>
  <c r="O536" i="1"/>
  <c r="O547" i="1"/>
  <c r="O548" i="1"/>
  <c r="O555" i="1"/>
  <c r="O556" i="1"/>
  <c r="O565" i="1"/>
  <c r="O566" i="1"/>
  <c r="O567" i="1"/>
  <c r="O568" i="1"/>
  <c r="O574" i="1"/>
  <c r="O580" i="1"/>
  <c r="O587" i="1"/>
  <c r="O588" i="1"/>
  <c r="O589" i="1"/>
  <c r="O606" i="1"/>
  <c r="O607" i="1"/>
  <c r="O619" i="1"/>
  <c r="O620" i="1"/>
  <c r="O627" i="1"/>
  <c r="O628" i="1"/>
  <c r="O643" i="1"/>
  <c r="O644" i="1"/>
  <c r="O648" i="1"/>
  <c r="O652" i="1"/>
  <c r="O659" i="1"/>
  <c r="O667" i="1"/>
  <c r="O668" i="1"/>
  <c r="O672" i="1"/>
  <c r="O673" i="1"/>
  <c r="O683" i="1"/>
  <c r="O684" i="1"/>
  <c r="O691" i="1"/>
  <c r="O692" i="1"/>
  <c r="O707" i="1"/>
  <c r="O708" i="1"/>
  <c r="O712" i="1"/>
  <c r="O716" i="1"/>
  <c r="O723" i="1"/>
  <c r="O731" i="1"/>
  <c r="O732" i="1"/>
  <c r="O736" i="1"/>
  <c r="O737" i="1"/>
  <c r="O747" i="1"/>
  <c r="O748" i="1"/>
  <c r="O755" i="1"/>
  <c r="O756" i="1"/>
  <c r="O771" i="1"/>
  <c r="O772" i="1"/>
  <c r="O776" i="1"/>
  <c r="O780" i="1"/>
  <c r="O787" i="1"/>
  <c r="O795" i="1"/>
  <c r="O796" i="1"/>
  <c r="O800" i="1"/>
  <c r="O801" i="1"/>
  <c r="O811" i="1"/>
  <c r="O812" i="1"/>
  <c r="O819" i="1"/>
  <c r="O820" i="1"/>
  <c r="O835" i="1"/>
  <c r="O836" i="1"/>
  <c r="O840" i="1"/>
  <c r="O844" i="1"/>
  <c r="O851" i="1"/>
  <c r="O859" i="1"/>
  <c r="O860" i="1"/>
  <c r="O861" i="1"/>
  <c r="O862" i="1"/>
  <c r="O867" i="1"/>
  <c r="O868" i="1"/>
  <c r="O869" i="1"/>
  <c r="O870" i="1"/>
  <c r="O872" i="1"/>
  <c r="O876" i="1"/>
  <c r="O877" i="1"/>
  <c r="O878" i="1"/>
  <c r="O880" i="1"/>
  <c r="O881" i="1"/>
  <c r="O885" i="1"/>
  <c r="O886" i="1"/>
  <c r="O899" i="1"/>
  <c r="O907" i="1"/>
  <c r="O908" i="1"/>
  <c r="O915" i="1"/>
  <c r="O916" i="1"/>
  <c r="O917" i="1"/>
  <c r="O923" i="1"/>
  <c r="O924" i="1"/>
  <c r="O925" i="1"/>
  <c r="O926" i="1"/>
  <c r="O931" i="1"/>
  <c r="O932" i="1"/>
  <c r="O933" i="1"/>
  <c r="O934" i="1"/>
  <c r="O936" i="1"/>
  <c r="O940" i="1"/>
  <c r="O941" i="1"/>
  <c r="O942" i="1"/>
  <c r="O944" i="1"/>
  <c r="O945" i="1"/>
  <c r="O949" i="1"/>
  <c r="O950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O15" i="1" s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O29" i="1" s="1"/>
  <c r="N30" i="1"/>
  <c r="N31" i="1"/>
  <c r="N32" i="1"/>
  <c r="O32" i="1" s="1"/>
  <c r="N33" i="1"/>
  <c r="O33" i="1" s="1"/>
  <c r="N34" i="1"/>
  <c r="N35" i="1"/>
  <c r="N36" i="1"/>
  <c r="N37" i="1"/>
  <c r="O37" i="1" s="1"/>
  <c r="N38" i="1"/>
  <c r="O38" i="1" s="1"/>
  <c r="N39" i="1"/>
  <c r="N40" i="1"/>
  <c r="N41" i="1"/>
  <c r="N42" i="1"/>
  <c r="N43" i="1"/>
  <c r="N44" i="1"/>
  <c r="N45" i="1"/>
  <c r="N46" i="1"/>
  <c r="N47" i="1"/>
  <c r="O47" i="1" s="1"/>
  <c r="N48" i="1"/>
  <c r="O48" i="1" s="1"/>
  <c r="N49" i="1"/>
  <c r="O49" i="1" s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O63" i="1" s="1"/>
  <c r="N64" i="1"/>
  <c r="N65" i="1"/>
  <c r="O65" i="1" s="1"/>
  <c r="N66" i="1"/>
  <c r="N67" i="1"/>
  <c r="N68" i="1"/>
  <c r="N69" i="1"/>
  <c r="N70" i="1"/>
  <c r="N71" i="1"/>
  <c r="O71" i="1" s="1"/>
  <c r="N72" i="1"/>
  <c r="N73" i="1"/>
  <c r="N74" i="1"/>
  <c r="N75" i="1"/>
  <c r="N76" i="1"/>
  <c r="N77" i="1"/>
  <c r="N78" i="1"/>
  <c r="N79" i="1"/>
  <c r="O79" i="1" s="1"/>
  <c r="N80" i="1"/>
  <c r="N81" i="1"/>
  <c r="N82" i="1"/>
  <c r="N83" i="1"/>
  <c r="N84" i="1"/>
  <c r="N85" i="1"/>
  <c r="O85" i="1" s="1"/>
  <c r="N86" i="1"/>
  <c r="O86" i="1" s="1"/>
  <c r="N87" i="1"/>
  <c r="O87" i="1" s="1"/>
  <c r="N88" i="1"/>
  <c r="N89" i="1"/>
  <c r="N90" i="1"/>
  <c r="N91" i="1"/>
  <c r="N92" i="1"/>
  <c r="N93" i="1"/>
  <c r="N94" i="1"/>
  <c r="N95" i="1"/>
  <c r="N96" i="1"/>
  <c r="N97" i="1"/>
  <c r="O97" i="1" s="1"/>
  <c r="N98" i="1"/>
  <c r="N99" i="1"/>
  <c r="N100" i="1"/>
  <c r="N101" i="1"/>
  <c r="O101" i="1" s="1"/>
  <c r="N102" i="1"/>
  <c r="O102" i="1" s="1"/>
  <c r="N103" i="1"/>
  <c r="O103" i="1" s="1"/>
  <c r="N104" i="1"/>
  <c r="O104" i="1" s="1"/>
  <c r="N105" i="1"/>
  <c r="N106" i="1"/>
  <c r="N107" i="1"/>
  <c r="N108" i="1"/>
  <c r="N109" i="1"/>
  <c r="N110" i="1"/>
  <c r="N111" i="1"/>
  <c r="N112" i="1"/>
  <c r="N113" i="1"/>
  <c r="O113" i="1" s="1"/>
  <c r="N114" i="1"/>
  <c r="N115" i="1"/>
  <c r="N116" i="1"/>
  <c r="N117" i="1"/>
  <c r="O117" i="1" s="1"/>
  <c r="N118" i="1"/>
  <c r="N119" i="1"/>
  <c r="N120" i="1"/>
  <c r="N121" i="1"/>
  <c r="O121" i="1" s="1"/>
  <c r="N122" i="1"/>
  <c r="N123" i="1"/>
  <c r="N124" i="1"/>
  <c r="N125" i="1"/>
  <c r="O125" i="1" s="1"/>
  <c r="N126" i="1"/>
  <c r="N127" i="1"/>
  <c r="N128" i="1"/>
  <c r="N129" i="1"/>
  <c r="O129" i="1" s="1"/>
  <c r="N130" i="1"/>
  <c r="N131" i="1"/>
  <c r="N132" i="1"/>
  <c r="N133" i="1"/>
  <c r="N134" i="1"/>
  <c r="N135" i="1"/>
  <c r="O135" i="1" s="1"/>
  <c r="N136" i="1"/>
  <c r="O136" i="1" s="1"/>
  <c r="N137" i="1"/>
  <c r="O137" i="1" s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O153" i="1" s="1"/>
  <c r="N154" i="1"/>
  <c r="N155" i="1"/>
  <c r="N156" i="1"/>
  <c r="N157" i="1"/>
  <c r="O157" i="1" s="1"/>
  <c r="N158" i="1"/>
  <c r="N159" i="1"/>
  <c r="N160" i="1"/>
  <c r="N161" i="1"/>
  <c r="N162" i="1"/>
  <c r="N163" i="1"/>
  <c r="N164" i="1"/>
  <c r="N165" i="1"/>
  <c r="N166" i="1"/>
  <c r="O166" i="1" s="1"/>
  <c r="N167" i="1"/>
  <c r="O167" i="1" s="1"/>
  <c r="N168" i="1"/>
  <c r="O168" i="1" s="1"/>
  <c r="N169" i="1"/>
  <c r="N170" i="1"/>
  <c r="N171" i="1"/>
  <c r="N172" i="1"/>
  <c r="N173" i="1"/>
  <c r="N174" i="1"/>
  <c r="N175" i="1"/>
  <c r="O175" i="1" s="1"/>
  <c r="N176" i="1"/>
  <c r="N177" i="1"/>
  <c r="N178" i="1"/>
  <c r="N179" i="1"/>
  <c r="N180" i="1"/>
  <c r="N181" i="1"/>
  <c r="N182" i="1"/>
  <c r="O182" i="1" s="1"/>
  <c r="N183" i="1"/>
  <c r="N184" i="1"/>
  <c r="N185" i="1"/>
  <c r="O185" i="1" s="1"/>
  <c r="N186" i="1"/>
  <c r="N187" i="1"/>
  <c r="N188" i="1"/>
  <c r="N189" i="1"/>
  <c r="O189" i="1" s="1"/>
  <c r="N190" i="1"/>
  <c r="O190" i="1" s="1"/>
  <c r="N191" i="1"/>
  <c r="O191" i="1" s="1"/>
  <c r="N192" i="1"/>
  <c r="N193" i="1"/>
  <c r="N194" i="1"/>
  <c r="N195" i="1"/>
  <c r="N196" i="1"/>
  <c r="N197" i="1"/>
  <c r="N198" i="1"/>
  <c r="N199" i="1"/>
  <c r="N200" i="1"/>
  <c r="O200" i="1" s="1"/>
  <c r="N201" i="1"/>
  <c r="O201" i="1" s="1"/>
  <c r="N202" i="1"/>
  <c r="N203" i="1"/>
  <c r="N204" i="1"/>
  <c r="N205" i="1"/>
  <c r="N206" i="1"/>
  <c r="N207" i="1"/>
  <c r="O207" i="1" s="1"/>
  <c r="N208" i="1"/>
  <c r="N209" i="1"/>
  <c r="N210" i="1"/>
  <c r="N211" i="1"/>
  <c r="N212" i="1"/>
  <c r="N213" i="1"/>
  <c r="N214" i="1"/>
  <c r="N215" i="1"/>
  <c r="N216" i="1"/>
  <c r="O216" i="1" s="1"/>
  <c r="N217" i="1"/>
  <c r="O217" i="1" s="1"/>
  <c r="N218" i="1"/>
  <c r="N219" i="1"/>
  <c r="N220" i="1"/>
  <c r="N221" i="1"/>
  <c r="O221" i="1" s="1"/>
  <c r="N222" i="1"/>
  <c r="N223" i="1"/>
  <c r="N224" i="1"/>
  <c r="O224" i="1" s="1"/>
  <c r="N225" i="1"/>
  <c r="O225" i="1" s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O238" i="1" s="1"/>
  <c r="N239" i="1"/>
  <c r="O239" i="1" s="1"/>
  <c r="N240" i="1"/>
  <c r="O240" i="1" s="1"/>
  <c r="N241" i="1"/>
  <c r="O241" i="1" s="1"/>
  <c r="N242" i="1"/>
  <c r="N243" i="1"/>
  <c r="N244" i="1"/>
  <c r="N245" i="1"/>
  <c r="N246" i="1"/>
  <c r="N247" i="1"/>
  <c r="N248" i="1"/>
  <c r="N249" i="1"/>
  <c r="N250" i="1"/>
  <c r="N251" i="1"/>
  <c r="N252" i="1"/>
  <c r="N253" i="1"/>
  <c r="O253" i="1" s="1"/>
  <c r="N254" i="1"/>
  <c r="O254" i="1" s="1"/>
  <c r="N255" i="1"/>
  <c r="N256" i="1"/>
  <c r="N257" i="1"/>
  <c r="O257" i="1" s="1"/>
  <c r="N258" i="1"/>
  <c r="N259" i="1"/>
  <c r="N260" i="1"/>
  <c r="N261" i="1"/>
  <c r="N262" i="1"/>
  <c r="N263" i="1"/>
  <c r="N264" i="1"/>
  <c r="N265" i="1"/>
  <c r="N266" i="1"/>
  <c r="N267" i="1"/>
  <c r="N268" i="1"/>
  <c r="N269" i="1"/>
  <c r="O269" i="1" s="1"/>
  <c r="N270" i="1"/>
  <c r="O270" i="1" s="1"/>
  <c r="N271" i="1"/>
  <c r="O271" i="1" s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O285" i="1" s="1"/>
  <c r="N286" i="1"/>
  <c r="N287" i="1"/>
  <c r="N288" i="1"/>
  <c r="N289" i="1"/>
  <c r="O289" i="1" s="1"/>
  <c r="N290" i="1"/>
  <c r="N291" i="1"/>
  <c r="N292" i="1"/>
  <c r="N293" i="1"/>
  <c r="O293" i="1" s="1"/>
  <c r="N294" i="1"/>
  <c r="O294" i="1" s="1"/>
  <c r="N295" i="1"/>
  <c r="N296" i="1"/>
  <c r="N297" i="1"/>
  <c r="N298" i="1"/>
  <c r="N299" i="1"/>
  <c r="N300" i="1"/>
  <c r="N301" i="1"/>
  <c r="N302" i="1"/>
  <c r="N303" i="1"/>
  <c r="O303" i="1" s="1"/>
  <c r="N304" i="1"/>
  <c r="O304" i="1" s="1"/>
  <c r="N305" i="1"/>
  <c r="O305" i="1" s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O319" i="1" s="1"/>
  <c r="N320" i="1"/>
  <c r="O320" i="1" s="1"/>
  <c r="N321" i="1"/>
  <c r="O321" i="1" s="1"/>
  <c r="N322" i="1"/>
  <c r="N323" i="1"/>
  <c r="N324" i="1"/>
  <c r="N325" i="1"/>
  <c r="N326" i="1"/>
  <c r="N327" i="1"/>
  <c r="O327" i="1" s="1"/>
  <c r="N328" i="1"/>
  <c r="O328" i="1" s="1"/>
  <c r="N329" i="1"/>
  <c r="N330" i="1"/>
  <c r="N331" i="1"/>
  <c r="N332" i="1"/>
  <c r="N333" i="1"/>
  <c r="N334" i="1"/>
  <c r="N335" i="1"/>
  <c r="O335" i="1" s="1"/>
  <c r="N336" i="1"/>
  <c r="N337" i="1"/>
  <c r="N338" i="1"/>
  <c r="N339" i="1"/>
  <c r="N340" i="1"/>
  <c r="N341" i="1"/>
  <c r="N342" i="1"/>
  <c r="N343" i="1"/>
  <c r="O343" i="1" s="1"/>
  <c r="N344" i="1"/>
  <c r="N345" i="1"/>
  <c r="N346" i="1"/>
  <c r="N347" i="1"/>
  <c r="N348" i="1"/>
  <c r="N349" i="1"/>
  <c r="N350" i="1"/>
  <c r="N351" i="1"/>
  <c r="N352" i="1"/>
  <c r="N353" i="1"/>
  <c r="O353" i="1" s="1"/>
  <c r="N354" i="1"/>
  <c r="N355" i="1"/>
  <c r="N356" i="1"/>
  <c r="N357" i="1"/>
  <c r="O357" i="1" s="1"/>
  <c r="N358" i="1"/>
  <c r="O358" i="1" s="1"/>
  <c r="N359" i="1"/>
  <c r="O359" i="1" s="1"/>
  <c r="N360" i="1"/>
  <c r="N361" i="1"/>
  <c r="N362" i="1"/>
  <c r="N363" i="1"/>
  <c r="N364" i="1"/>
  <c r="N365" i="1"/>
  <c r="N366" i="1"/>
  <c r="N367" i="1"/>
  <c r="N368" i="1"/>
  <c r="N369" i="1"/>
  <c r="O369" i="1" s="1"/>
  <c r="N370" i="1"/>
  <c r="N371" i="1"/>
  <c r="N372" i="1"/>
  <c r="N373" i="1"/>
  <c r="O373" i="1" s="1"/>
  <c r="N374" i="1"/>
  <c r="O374" i="1" s="1"/>
  <c r="N375" i="1"/>
  <c r="N376" i="1"/>
  <c r="N377" i="1"/>
  <c r="O377" i="1" s="1"/>
  <c r="N378" i="1"/>
  <c r="N379" i="1"/>
  <c r="N380" i="1"/>
  <c r="N381" i="1"/>
  <c r="O381" i="1" s="1"/>
  <c r="N382" i="1"/>
  <c r="N383" i="1"/>
  <c r="N384" i="1"/>
  <c r="N385" i="1"/>
  <c r="O385" i="1" s="1"/>
  <c r="N386" i="1"/>
  <c r="N387" i="1"/>
  <c r="N388" i="1"/>
  <c r="N389" i="1"/>
  <c r="N390" i="1"/>
  <c r="N391" i="1"/>
  <c r="O391" i="1" s="1"/>
  <c r="N392" i="1"/>
  <c r="N393" i="1"/>
  <c r="O393" i="1" s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O408" i="1" s="1"/>
  <c r="N409" i="1"/>
  <c r="O409" i="1" s="1"/>
  <c r="N410" i="1"/>
  <c r="N411" i="1"/>
  <c r="N412" i="1"/>
  <c r="N413" i="1"/>
  <c r="O413" i="1" s="1"/>
  <c r="N414" i="1"/>
  <c r="N415" i="1"/>
  <c r="N416" i="1"/>
  <c r="N417" i="1"/>
  <c r="N418" i="1"/>
  <c r="N419" i="1"/>
  <c r="N420" i="1"/>
  <c r="N421" i="1"/>
  <c r="N422" i="1"/>
  <c r="O422" i="1" s="1"/>
  <c r="N423" i="1"/>
  <c r="O423" i="1" s="1"/>
  <c r="N424" i="1"/>
  <c r="O424" i="1" s="1"/>
  <c r="N425" i="1"/>
  <c r="N426" i="1"/>
  <c r="N427" i="1"/>
  <c r="N428" i="1"/>
  <c r="N429" i="1"/>
  <c r="N430" i="1"/>
  <c r="N431" i="1"/>
  <c r="O431" i="1" s="1"/>
  <c r="N432" i="1"/>
  <c r="N433" i="1"/>
  <c r="N434" i="1"/>
  <c r="N435" i="1"/>
  <c r="N436" i="1"/>
  <c r="N437" i="1"/>
  <c r="N438" i="1"/>
  <c r="O438" i="1" s="1"/>
  <c r="N439" i="1"/>
  <c r="N440" i="1"/>
  <c r="N441" i="1"/>
  <c r="O441" i="1" s="1"/>
  <c r="N442" i="1"/>
  <c r="N443" i="1"/>
  <c r="N444" i="1"/>
  <c r="N445" i="1"/>
  <c r="O445" i="1" s="1"/>
  <c r="N446" i="1"/>
  <c r="N447" i="1"/>
  <c r="N448" i="1"/>
  <c r="N449" i="1"/>
  <c r="N450" i="1"/>
  <c r="N451" i="1"/>
  <c r="N452" i="1"/>
  <c r="N453" i="1"/>
  <c r="N454" i="1"/>
  <c r="N455" i="1"/>
  <c r="N456" i="1"/>
  <c r="O456" i="1" s="1"/>
  <c r="N457" i="1"/>
  <c r="O457" i="1" s="1"/>
  <c r="N458" i="1"/>
  <c r="N459" i="1"/>
  <c r="N460" i="1"/>
  <c r="N461" i="1"/>
  <c r="N462" i="1"/>
  <c r="N463" i="1"/>
  <c r="O463" i="1" s="1"/>
  <c r="N464" i="1"/>
  <c r="N465" i="1"/>
  <c r="N466" i="1"/>
  <c r="N467" i="1"/>
  <c r="N468" i="1"/>
  <c r="N469" i="1"/>
  <c r="N470" i="1"/>
  <c r="N471" i="1"/>
  <c r="N472" i="1"/>
  <c r="O472" i="1" s="1"/>
  <c r="N473" i="1"/>
  <c r="O473" i="1" s="1"/>
  <c r="N474" i="1"/>
  <c r="N475" i="1"/>
  <c r="N476" i="1"/>
  <c r="N477" i="1"/>
  <c r="O477" i="1" s="1"/>
  <c r="N478" i="1"/>
  <c r="N479" i="1"/>
  <c r="N480" i="1"/>
  <c r="O480" i="1" s="1"/>
  <c r="N481" i="1"/>
  <c r="O481" i="1" s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O494" i="1" s="1"/>
  <c r="N495" i="1"/>
  <c r="O495" i="1" s="1"/>
  <c r="N496" i="1"/>
  <c r="O496" i="1" s="1"/>
  <c r="N497" i="1"/>
  <c r="O497" i="1" s="1"/>
  <c r="N498" i="1"/>
  <c r="N499" i="1"/>
  <c r="N500" i="1"/>
  <c r="N501" i="1"/>
  <c r="N502" i="1"/>
  <c r="N503" i="1"/>
  <c r="N504" i="1"/>
  <c r="N505" i="1"/>
  <c r="N506" i="1"/>
  <c r="N507" i="1"/>
  <c r="N508" i="1"/>
  <c r="N509" i="1"/>
  <c r="O509" i="1" s="1"/>
  <c r="N510" i="1"/>
  <c r="O510" i="1" s="1"/>
  <c r="N511" i="1"/>
  <c r="N512" i="1"/>
  <c r="O512" i="1" s="1"/>
  <c r="N513" i="1"/>
  <c r="O513" i="1" s="1"/>
  <c r="N514" i="1"/>
  <c r="N515" i="1"/>
  <c r="N516" i="1"/>
  <c r="N517" i="1"/>
  <c r="N518" i="1"/>
  <c r="N519" i="1"/>
  <c r="N520" i="1"/>
  <c r="N521" i="1"/>
  <c r="N522" i="1"/>
  <c r="N523" i="1"/>
  <c r="N524" i="1"/>
  <c r="N525" i="1"/>
  <c r="O525" i="1" s="1"/>
  <c r="N526" i="1"/>
  <c r="O526" i="1" s="1"/>
  <c r="N527" i="1"/>
  <c r="O527" i="1" s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O541" i="1" s="1"/>
  <c r="N542" i="1"/>
  <c r="N543" i="1"/>
  <c r="N544" i="1"/>
  <c r="N545" i="1"/>
  <c r="O545" i="1" s="1"/>
  <c r="N546" i="1"/>
  <c r="N547" i="1"/>
  <c r="N548" i="1"/>
  <c r="N549" i="1"/>
  <c r="O549" i="1" s="1"/>
  <c r="N550" i="1"/>
  <c r="O550" i="1" s="1"/>
  <c r="N551" i="1"/>
  <c r="N552" i="1"/>
  <c r="N553" i="1"/>
  <c r="N554" i="1"/>
  <c r="N555" i="1"/>
  <c r="N556" i="1"/>
  <c r="N557" i="1"/>
  <c r="N558" i="1"/>
  <c r="N559" i="1"/>
  <c r="O559" i="1" s="1"/>
  <c r="N560" i="1"/>
  <c r="O560" i="1" s="1"/>
  <c r="N561" i="1"/>
  <c r="O561" i="1" s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O575" i="1" s="1"/>
  <c r="N576" i="1"/>
  <c r="O576" i="1" s="1"/>
  <c r="N577" i="1"/>
  <c r="O577" i="1" s="1"/>
  <c r="N578" i="1"/>
  <c r="N579" i="1"/>
  <c r="N580" i="1"/>
  <c r="N581" i="1"/>
  <c r="N582" i="1"/>
  <c r="N583" i="1"/>
  <c r="O583" i="1" s="1"/>
  <c r="N584" i="1"/>
  <c r="N585" i="1"/>
  <c r="N586" i="1"/>
  <c r="N587" i="1"/>
  <c r="N588" i="1"/>
  <c r="N589" i="1"/>
  <c r="N590" i="1"/>
  <c r="N591" i="1"/>
  <c r="O591" i="1" s="1"/>
  <c r="N592" i="1"/>
  <c r="N593" i="1"/>
  <c r="N594" i="1"/>
  <c r="N595" i="1"/>
  <c r="N596" i="1"/>
  <c r="N597" i="1"/>
  <c r="O597" i="1" s="1"/>
  <c r="N598" i="1"/>
  <c r="O598" i="1" s="1"/>
  <c r="N599" i="1"/>
  <c r="O599" i="1" s="1"/>
  <c r="N600" i="1"/>
  <c r="O600" i="1" s="1"/>
  <c r="N601" i="1"/>
  <c r="N602" i="1"/>
  <c r="N603" i="1"/>
  <c r="N604" i="1"/>
  <c r="N605" i="1"/>
  <c r="N606" i="1"/>
  <c r="N607" i="1"/>
  <c r="N608" i="1"/>
  <c r="N609" i="1"/>
  <c r="O609" i="1" s="1"/>
  <c r="N610" i="1"/>
  <c r="N611" i="1"/>
  <c r="N612" i="1"/>
  <c r="N613" i="1"/>
  <c r="O613" i="1" s="1"/>
  <c r="N614" i="1"/>
  <c r="O614" i="1" s="1"/>
  <c r="N615" i="1"/>
  <c r="O615" i="1" s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O629" i="1" s="1"/>
  <c r="N630" i="1"/>
  <c r="O630" i="1" s="1"/>
  <c r="N631" i="1"/>
  <c r="N632" i="1"/>
  <c r="N633" i="1"/>
  <c r="O633" i="1" s="1"/>
  <c r="N634" i="1"/>
  <c r="N635" i="1"/>
  <c r="N636" i="1"/>
  <c r="N637" i="1"/>
  <c r="O637" i="1" s="1"/>
  <c r="N638" i="1"/>
  <c r="N639" i="1"/>
  <c r="N640" i="1"/>
  <c r="N641" i="1"/>
  <c r="O641" i="1" s="1"/>
  <c r="N642" i="1"/>
  <c r="N643" i="1"/>
  <c r="N644" i="1"/>
  <c r="N645" i="1"/>
  <c r="N646" i="1"/>
  <c r="N647" i="1"/>
  <c r="O647" i="1" s="1"/>
  <c r="N648" i="1"/>
  <c r="N649" i="1"/>
  <c r="O649" i="1" s="1"/>
  <c r="N650" i="1"/>
  <c r="N651" i="1"/>
  <c r="N652" i="1"/>
  <c r="N653" i="1"/>
  <c r="O653" i="1" s="1"/>
  <c r="N654" i="1"/>
  <c r="N655" i="1"/>
  <c r="N656" i="1"/>
  <c r="N657" i="1"/>
  <c r="N658" i="1"/>
  <c r="N659" i="1"/>
  <c r="N660" i="1"/>
  <c r="N661" i="1"/>
  <c r="N662" i="1"/>
  <c r="O662" i="1" s="1"/>
  <c r="N663" i="1"/>
  <c r="O663" i="1" s="1"/>
  <c r="N664" i="1"/>
  <c r="N665" i="1"/>
  <c r="N666" i="1"/>
  <c r="N667" i="1"/>
  <c r="N668" i="1"/>
  <c r="N669" i="1"/>
  <c r="O669" i="1" s="1"/>
  <c r="N670" i="1"/>
  <c r="N671" i="1"/>
  <c r="N672" i="1"/>
  <c r="N673" i="1"/>
  <c r="N674" i="1"/>
  <c r="N675" i="1"/>
  <c r="N676" i="1"/>
  <c r="N677" i="1"/>
  <c r="N678" i="1"/>
  <c r="O678" i="1" s="1"/>
  <c r="N679" i="1"/>
  <c r="O679" i="1" s="1"/>
  <c r="N680" i="1"/>
  <c r="O680" i="1" s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O693" i="1" s="1"/>
  <c r="N694" i="1"/>
  <c r="O694" i="1" s="1"/>
  <c r="N695" i="1"/>
  <c r="N696" i="1"/>
  <c r="N697" i="1"/>
  <c r="N698" i="1"/>
  <c r="N699" i="1"/>
  <c r="N700" i="1"/>
  <c r="O700" i="1" s="1"/>
  <c r="N701" i="1"/>
  <c r="O701" i="1" s="1"/>
  <c r="N702" i="1"/>
  <c r="O702" i="1" s="1"/>
  <c r="N703" i="1"/>
  <c r="O703" i="1" s="1"/>
  <c r="N704" i="1"/>
  <c r="N705" i="1"/>
  <c r="N706" i="1"/>
  <c r="N707" i="1"/>
  <c r="N708" i="1"/>
  <c r="N709" i="1"/>
  <c r="N710" i="1"/>
  <c r="O710" i="1" s="1"/>
  <c r="N711" i="1"/>
  <c r="O711" i="1" s="1"/>
  <c r="N712" i="1"/>
  <c r="N713" i="1"/>
  <c r="N714" i="1"/>
  <c r="N715" i="1"/>
  <c r="O715" i="1" s="1"/>
  <c r="N716" i="1"/>
  <c r="N717" i="1"/>
  <c r="N718" i="1"/>
  <c r="N719" i="1"/>
  <c r="N720" i="1"/>
  <c r="O720" i="1" s="1"/>
  <c r="N721" i="1"/>
  <c r="N722" i="1"/>
  <c r="N723" i="1"/>
  <c r="N724" i="1"/>
  <c r="O724" i="1" s="1"/>
  <c r="N725" i="1"/>
  <c r="O725" i="1" s="1"/>
  <c r="N726" i="1"/>
  <c r="O726" i="1" s="1"/>
  <c r="N727" i="1"/>
  <c r="N728" i="1"/>
  <c r="N729" i="1"/>
  <c r="N730" i="1"/>
  <c r="N731" i="1"/>
  <c r="N732" i="1"/>
  <c r="N733" i="1"/>
  <c r="O733" i="1" s="1"/>
  <c r="N734" i="1"/>
  <c r="O734" i="1" s="1"/>
  <c r="N735" i="1"/>
  <c r="O735" i="1" s="1"/>
  <c r="N736" i="1"/>
  <c r="N737" i="1"/>
  <c r="N738" i="1"/>
  <c r="N739" i="1"/>
  <c r="N740" i="1"/>
  <c r="N741" i="1"/>
  <c r="N742" i="1"/>
  <c r="O742" i="1" s="1"/>
  <c r="N743" i="1"/>
  <c r="O743" i="1" s="1"/>
  <c r="N744" i="1"/>
  <c r="O744" i="1" s="1"/>
  <c r="N745" i="1"/>
  <c r="N746" i="1"/>
  <c r="N747" i="1"/>
  <c r="N748" i="1"/>
  <c r="N749" i="1"/>
  <c r="N750" i="1"/>
  <c r="N751" i="1"/>
  <c r="N752" i="1"/>
  <c r="O752" i="1" s="1"/>
  <c r="N753" i="1"/>
  <c r="N754" i="1"/>
  <c r="N755" i="1"/>
  <c r="N756" i="1"/>
  <c r="N757" i="1"/>
  <c r="O757" i="1" s="1"/>
  <c r="N758" i="1"/>
  <c r="O758" i="1" s="1"/>
  <c r="N759" i="1"/>
  <c r="N760" i="1"/>
  <c r="N761" i="1"/>
  <c r="N762" i="1"/>
  <c r="N763" i="1"/>
  <c r="N764" i="1"/>
  <c r="O764" i="1" s="1"/>
  <c r="N765" i="1"/>
  <c r="O765" i="1" s="1"/>
  <c r="N766" i="1"/>
  <c r="O766" i="1" s="1"/>
  <c r="N767" i="1"/>
  <c r="O767" i="1" s="1"/>
  <c r="N768" i="1"/>
  <c r="O768" i="1" s="1"/>
  <c r="N769" i="1"/>
  <c r="N770" i="1"/>
  <c r="N771" i="1"/>
  <c r="N772" i="1"/>
  <c r="N773" i="1"/>
  <c r="N774" i="1"/>
  <c r="O774" i="1" s="1"/>
  <c r="N775" i="1"/>
  <c r="O775" i="1" s="1"/>
  <c r="N776" i="1"/>
  <c r="N777" i="1"/>
  <c r="N778" i="1"/>
  <c r="N779" i="1"/>
  <c r="O779" i="1" s="1"/>
  <c r="N780" i="1"/>
  <c r="N781" i="1"/>
  <c r="N782" i="1"/>
  <c r="N783" i="1"/>
  <c r="N784" i="1"/>
  <c r="O784" i="1" s="1"/>
  <c r="N785" i="1"/>
  <c r="N786" i="1"/>
  <c r="N787" i="1"/>
  <c r="N788" i="1"/>
  <c r="O788" i="1" s="1"/>
  <c r="N789" i="1"/>
  <c r="O789" i="1" s="1"/>
  <c r="N790" i="1"/>
  <c r="O790" i="1" s="1"/>
  <c r="N791" i="1"/>
  <c r="N792" i="1"/>
  <c r="N793" i="1"/>
  <c r="N794" i="1"/>
  <c r="N795" i="1"/>
  <c r="N796" i="1"/>
  <c r="N797" i="1"/>
  <c r="O797" i="1" s="1"/>
  <c r="N798" i="1"/>
  <c r="O798" i="1" s="1"/>
  <c r="N799" i="1"/>
  <c r="O799" i="1" s="1"/>
  <c r="N800" i="1"/>
  <c r="N801" i="1"/>
  <c r="N802" i="1"/>
  <c r="N803" i="1"/>
  <c r="N804" i="1"/>
  <c r="N805" i="1"/>
  <c r="N806" i="1"/>
  <c r="O806" i="1" s="1"/>
  <c r="N807" i="1"/>
  <c r="O807" i="1" s="1"/>
  <c r="N808" i="1"/>
  <c r="N809" i="1"/>
  <c r="N810" i="1"/>
  <c r="N811" i="1"/>
  <c r="N812" i="1"/>
  <c r="N813" i="1"/>
  <c r="N814" i="1"/>
  <c r="N815" i="1"/>
  <c r="N816" i="1"/>
  <c r="O816" i="1" s="1"/>
  <c r="N817" i="1"/>
  <c r="N818" i="1"/>
  <c r="N819" i="1"/>
  <c r="N820" i="1"/>
  <c r="N821" i="1"/>
  <c r="O821" i="1" s="1"/>
  <c r="N822" i="1"/>
  <c r="O822" i="1" s="1"/>
  <c r="N823" i="1"/>
  <c r="N824" i="1"/>
  <c r="N825" i="1"/>
  <c r="N826" i="1"/>
  <c r="N827" i="1"/>
  <c r="N828" i="1"/>
  <c r="N829" i="1"/>
  <c r="O829" i="1" s="1"/>
  <c r="N830" i="1"/>
  <c r="O830" i="1" s="1"/>
  <c r="N831" i="1"/>
  <c r="O831" i="1" s="1"/>
  <c r="N832" i="1"/>
  <c r="O832" i="1" s="1"/>
  <c r="N833" i="1"/>
  <c r="N834" i="1"/>
  <c r="N835" i="1"/>
  <c r="N836" i="1"/>
  <c r="N837" i="1"/>
  <c r="N838" i="1"/>
  <c r="O838" i="1" s="1"/>
  <c r="N839" i="1"/>
  <c r="O839" i="1" s="1"/>
  <c r="N840" i="1"/>
  <c r="N841" i="1"/>
  <c r="N842" i="1"/>
  <c r="N843" i="1"/>
  <c r="N844" i="1"/>
  <c r="N845" i="1"/>
  <c r="N846" i="1"/>
  <c r="N847" i="1"/>
  <c r="N848" i="1"/>
  <c r="O848" i="1" s="1"/>
  <c r="N849" i="1"/>
  <c r="N850" i="1"/>
  <c r="N851" i="1"/>
  <c r="N852" i="1"/>
  <c r="O852" i="1" s="1"/>
  <c r="N853" i="1"/>
  <c r="O853" i="1" s="1"/>
  <c r="N854" i="1"/>
  <c r="O854" i="1" s="1"/>
  <c r="N855" i="1"/>
  <c r="N856" i="1"/>
  <c r="N857" i="1"/>
  <c r="N858" i="1"/>
  <c r="N859" i="1"/>
  <c r="N860" i="1"/>
  <c r="N861" i="1"/>
  <c r="N862" i="1"/>
  <c r="N863" i="1"/>
  <c r="O863" i="1" s="1"/>
  <c r="N864" i="1"/>
  <c r="O864" i="1" s="1"/>
  <c r="N865" i="1"/>
  <c r="N866" i="1"/>
  <c r="N867" i="1"/>
  <c r="N868" i="1"/>
  <c r="N869" i="1"/>
  <c r="N870" i="1"/>
  <c r="N871" i="1"/>
  <c r="O871" i="1" s="1"/>
  <c r="N872" i="1"/>
  <c r="N873" i="1"/>
  <c r="N874" i="1"/>
  <c r="N875" i="1"/>
  <c r="N876" i="1"/>
  <c r="N877" i="1"/>
  <c r="N878" i="1"/>
  <c r="N879" i="1"/>
  <c r="N880" i="1"/>
  <c r="N881" i="1"/>
  <c r="N882" i="1"/>
  <c r="N883" i="1"/>
  <c r="O883" i="1" s="1"/>
  <c r="N884" i="1"/>
  <c r="O884" i="1" s="1"/>
  <c r="N885" i="1"/>
  <c r="N886" i="1"/>
  <c r="N887" i="1"/>
  <c r="N888" i="1"/>
  <c r="N889" i="1"/>
  <c r="N890" i="1"/>
  <c r="N891" i="1"/>
  <c r="N892" i="1"/>
  <c r="O892" i="1" s="1"/>
  <c r="N893" i="1"/>
  <c r="N894" i="1"/>
  <c r="N895" i="1"/>
  <c r="O895" i="1" s="1"/>
  <c r="N896" i="1"/>
  <c r="N897" i="1"/>
  <c r="N898" i="1"/>
  <c r="N899" i="1"/>
  <c r="N900" i="1"/>
  <c r="N901" i="1"/>
  <c r="N902" i="1"/>
  <c r="O902" i="1" s="1"/>
  <c r="N903" i="1"/>
  <c r="O903" i="1" s="1"/>
  <c r="N904" i="1"/>
  <c r="O904" i="1" s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O918" i="1" s="1"/>
  <c r="N919" i="1"/>
  <c r="N920" i="1"/>
  <c r="N921" i="1"/>
  <c r="N922" i="1"/>
  <c r="N923" i="1"/>
  <c r="N924" i="1"/>
  <c r="N925" i="1"/>
  <c r="N926" i="1"/>
  <c r="N927" i="1"/>
  <c r="O927" i="1" s="1"/>
  <c r="N928" i="1"/>
  <c r="O928" i="1" s="1"/>
  <c r="N929" i="1"/>
  <c r="N930" i="1"/>
  <c r="N931" i="1"/>
  <c r="N932" i="1"/>
  <c r="N933" i="1"/>
  <c r="N934" i="1"/>
  <c r="N935" i="1"/>
  <c r="O935" i="1" s="1"/>
  <c r="N936" i="1"/>
  <c r="N937" i="1"/>
  <c r="N938" i="1"/>
  <c r="N939" i="1"/>
  <c r="O939" i="1" s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O956" i="1" s="1"/>
  <c r="N957" i="1"/>
  <c r="O957" i="1" s="1"/>
  <c r="N958" i="1"/>
  <c r="O958" i="1" s="1"/>
  <c r="N959" i="1"/>
  <c r="N960" i="1"/>
  <c r="N961" i="1"/>
  <c r="N962" i="1"/>
  <c r="N963" i="1"/>
  <c r="N964" i="1"/>
  <c r="N965" i="1"/>
  <c r="N966" i="1"/>
  <c r="O966" i="1" s="1"/>
  <c r="N967" i="1"/>
  <c r="N968" i="1"/>
  <c r="N969" i="1"/>
  <c r="N970" i="1"/>
  <c r="N971" i="1"/>
  <c r="O971" i="1" s="1"/>
  <c r="N972" i="1"/>
  <c r="O972" i="1" s="1"/>
  <c r="N973" i="1"/>
  <c r="N974" i="1"/>
  <c r="N975" i="1"/>
  <c r="N976" i="1"/>
  <c r="O976" i="1" s="1"/>
  <c r="N977" i="1"/>
  <c r="N978" i="1"/>
  <c r="N979" i="1"/>
  <c r="N980" i="1"/>
  <c r="N981" i="1"/>
  <c r="N982" i="1"/>
  <c r="N983" i="1"/>
  <c r="N984" i="1"/>
  <c r="N985" i="1"/>
  <c r="N986" i="1"/>
  <c r="N987" i="1"/>
  <c r="N988" i="1"/>
  <c r="O988" i="1" s="1"/>
  <c r="N989" i="1"/>
  <c r="O989" i="1" s="1"/>
  <c r="N990" i="1"/>
  <c r="O990" i="1" s="1"/>
  <c r="N991" i="1"/>
  <c r="O991" i="1" s="1"/>
  <c r="N992" i="1"/>
  <c r="N993" i="1"/>
  <c r="N994" i="1"/>
  <c r="N995" i="1"/>
  <c r="N996" i="1"/>
  <c r="N997" i="1"/>
  <c r="N998" i="1"/>
  <c r="O998" i="1" s="1"/>
  <c r="N999" i="1"/>
  <c r="O999" i="1" s="1"/>
  <c r="N1000" i="1"/>
  <c r="N1001" i="1"/>
  <c r="A1" i="2" a="1"/>
  <c r="A1" i="2" s="1"/>
  <c r="C5" i="8" l="1"/>
  <c r="C9" i="8"/>
  <c r="C10" i="8" s="1"/>
  <c r="O610" i="1"/>
  <c r="O594" i="1"/>
  <c r="O578" i="1"/>
  <c r="O554" i="1"/>
  <c r="O530" i="1"/>
  <c r="O514" i="1"/>
  <c r="O490" i="1"/>
  <c r="O466" i="1"/>
  <c r="O442" i="1"/>
  <c r="O426" i="1"/>
  <c r="O402" i="1"/>
  <c r="O378" i="1"/>
  <c r="O362" i="1"/>
  <c r="O338" i="1"/>
  <c r="O314" i="1"/>
  <c r="O290" i="1"/>
  <c r="O274" i="1"/>
  <c r="O250" i="1"/>
  <c r="O234" i="1"/>
  <c r="O218" i="1"/>
  <c r="O202" i="1"/>
  <c r="O178" i="1"/>
  <c r="O154" i="1"/>
  <c r="O130" i="1"/>
  <c r="O114" i="1"/>
  <c r="O98" i="1"/>
  <c r="O74" i="1"/>
  <c r="O50" i="1"/>
  <c r="O34" i="1"/>
  <c r="O10" i="1"/>
  <c r="O986" i="1"/>
  <c r="O962" i="1"/>
  <c r="O890" i="1"/>
  <c r="O698" i="1"/>
  <c r="O585" i="1"/>
  <c r="O553" i="1"/>
  <c r="O537" i="1"/>
  <c r="O521" i="1"/>
  <c r="O505" i="1"/>
  <c r="O449" i="1"/>
  <c r="O433" i="1"/>
  <c r="O417" i="1"/>
  <c r="O313" i="1"/>
  <c r="O297" i="1"/>
  <c r="O273" i="1"/>
  <c r="O169" i="1"/>
  <c r="O161" i="1"/>
  <c r="O145" i="1"/>
  <c r="O105" i="1"/>
  <c r="O89" i="1"/>
  <c r="O73" i="1"/>
  <c r="O57" i="1"/>
  <c r="O41" i="1"/>
  <c r="O25" i="1"/>
  <c r="O1001" i="1"/>
  <c r="O977" i="1"/>
  <c r="O961" i="1"/>
  <c r="O825" i="1"/>
  <c r="O722" i="1"/>
  <c r="O272" i="1"/>
  <c r="O176" i="1"/>
  <c r="O960" i="1"/>
  <c r="O897" i="1"/>
  <c r="O810" i="1"/>
  <c r="O785" i="1"/>
  <c r="O746" i="1"/>
  <c r="O721" i="1"/>
  <c r="O696" i="1"/>
  <c r="O632" i="1"/>
  <c r="O296" i="1"/>
  <c r="O192" i="1"/>
  <c r="O88" i="1"/>
  <c r="O919" i="1"/>
  <c r="O911" i="1"/>
  <c r="O887" i="1"/>
  <c r="O879" i="1"/>
  <c r="O695" i="1"/>
  <c r="O639" i="1"/>
  <c r="O455" i="1"/>
  <c r="O399" i="1"/>
  <c r="O367" i="1"/>
  <c r="O143" i="1"/>
  <c r="O111" i="1"/>
  <c r="O967" i="1"/>
  <c r="O914" i="1"/>
  <c r="O896" i="1"/>
  <c r="O834" i="1"/>
  <c r="O745" i="1"/>
  <c r="O706" i="1"/>
  <c r="O681" i="1"/>
  <c r="O656" i="1"/>
  <c r="O617" i="1"/>
  <c r="O686" i="1"/>
  <c r="O152" i="1"/>
  <c r="O845" i="1"/>
  <c r="O837" i="1"/>
  <c r="O813" i="1"/>
  <c r="O805" i="1"/>
  <c r="O781" i="1"/>
  <c r="O773" i="1"/>
  <c r="O749" i="1"/>
  <c r="O741" i="1"/>
  <c r="O717" i="1"/>
  <c r="O709" i="1"/>
  <c r="O685" i="1"/>
  <c r="O677" i="1"/>
  <c r="O661" i="1"/>
  <c r="O645" i="1"/>
  <c r="O621" i="1"/>
  <c r="O605" i="1"/>
  <c r="O581" i="1"/>
  <c r="O573" i="1"/>
  <c r="O517" i="1"/>
  <c r="O485" i="1"/>
  <c r="O453" i="1"/>
  <c r="O421" i="1"/>
  <c r="O389" i="1"/>
  <c r="O349" i="1"/>
  <c r="O325" i="1"/>
  <c r="O317" i="1"/>
  <c r="O261" i="1"/>
  <c r="O229" i="1"/>
  <c r="O197" i="1"/>
  <c r="O165" i="1"/>
  <c r="O133" i="1"/>
  <c r="O93" i="1"/>
  <c r="O69" i="1"/>
  <c r="O61" i="1"/>
  <c r="O5" i="1"/>
  <c r="O997" i="1"/>
  <c r="O981" i="1"/>
  <c r="O973" i="1"/>
  <c r="O965" i="1"/>
  <c r="O948" i="1"/>
  <c r="O930" i="1"/>
  <c r="O921" i="1"/>
  <c r="O912" i="1"/>
  <c r="O893" i="1"/>
  <c r="O875" i="1"/>
  <c r="O866" i="1"/>
  <c r="O857" i="1"/>
  <c r="O843" i="1"/>
  <c r="O818" i="1"/>
  <c r="O804" i="1"/>
  <c r="O793" i="1"/>
  <c r="O754" i="1"/>
  <c r="O740" i="1"/>
  <c r="O729" i="1"/>
  <c r="O704" i="1"/>
  <c r="O690" i="1"/>
  <c r="O676" i="1"/>
  <c r="O665" i="1"/>
  <c r="O651" i="1"/>
  <c r="O640" i="1"/>
  <c r="O626" i="1"/>
  <c r="O612" i="1"/>
  <c r="O579" i="1"/>
  <c r="O564" i="1"/>
  <c r="O544" i="1"/>
  <c r="O511" i="1"/>
  <c r="O493" i="1"/>
  <c r="O478" i="1"/>
  <c r="O460" i="1"/>
  <c r="O440" i="1"/>
  <c r="O427" i="1"/>
  <c r="O407" i="1"/>
  <c r="O392" i="1"/>
  <c r="O356" i="1"/>
  <c r="O341" i="1"/>
  <c r="O323" i="1"/>
  <c r="O308" i="1"/>
  <c r="O288" i="1"/>
  <c r="O255" i="1"/>
  <c r="O237" i="1"/>
  <c r="O222" i="1"/>
  <c r="O204" i="1"/>
  <c r="O184" i="1"/>
  <c r="O171" i="1"/>
  <c r="O151" i="1"/>
  <c r="O118" i="1"/>
  <c r="O100" i="1"/>
  <c r="O67" i="1"/>
  <c r="O52" i="1"/>
  <c r="O14" i="1"/>
  <c r="O602" i="1"/>
  <c r="O586" i="1"/>
  <c r="O570" i="1"/>
  <c r="O562" i="1"/>
  <c r="O546" i="1"/>
  <c r="O538" i="1"/>
  <c r="O522" i="1"/>
  <c r="O506" i="1"/>
  <c r="O498" i="1"/>
  <c r="O482" i="1"/>
  <c r="O474" i="1"/>
  <c r="O458" i="1"/>
  <c r="O450" i="1"/>
  <c r="O434" i="1"/>
  <c r="O418" i="1"/>
  <c r="O410" i="1"/>
  <c r="O394" i="1"/>
  <c r="O386" i="1"/>
  <c r="O370" i="1"/>
  <c r="O354" i="1"/>
  <c r="O346" i="1"/>
  <c r="O330" i="1"/>
  <c r="O322" i="1"/>
  <c r="O306" i="1"/>
  <c r="O298" i="1"/>
  <c r="O282" i="1"/>
  <c r="O266" i="1"/>
  <c r="O258" i="1"/>
  <c r="O242" i="1"/>
  <c r="O226" i="1"/>
  <c r="O210" i="1"/>
  <c r="O194" i="1"/>
  <c r="O186" i="1"/>
  <c r="O170" i="1"/>
  <c r="O162" i="1"/>
  <c r="O146" i="1"/>
  <c r="O138" i="1"/>
  <c r="O122" i="1"/>
  <c r="O106" i="1"/>
  <c r="O90" i="1"/>
  <c r="O82" i="1"/>
  <c r="O66" i="1"/>
  <c r="O58" i="1"/>
  <c r="O42" i="1"/>
  <c r="O26" i="1"/>
  <c r="O18" i="1"/>
  <c r="O2" i="1"/>
  <c r="O994" i="1"/>
  <c r="O978" i="1"/>
  <c r="O970" i="1"/>
  <c r="O954" i="1"/>
  <c r="O826" i="1"/>
  <c r="O762" i="1"/>
  <c r="O634" i="1"/>
  <c r="O601" i="1"/>
  <c r="O593" i="1"/>
  <c r="O569" i="1"/>
  <c r="O529" i="1"/>
  <c r="O489" i="1"/>
  <c r="O465" i="1"/>
  <c r="O425" i="1"/>
  <c r="O401" i="1"/>
  <c r="O361" i="1"/>
  <c r="O345" i="1"/>
  <c r="O337" i="1"/>
  <c r="O329" i="1"/>
  <c r="O281" i="1"/>
  <c r="O265" i="1"/>
  <c r="O249" i="1"/>
  <c r="O233" i="1"/>
  <c r="O209" i="1"/>
  <c r="O193" i="1"/>
  <c r="O177" i="1"/>
  <c r="O81" i="1"/>
  <c r="O17" i="1"/>
  <c r="O9" i="1"/>
  <c r="O993" i="1"/>
  <c r="O985" i="1"/>
  <c r="O969" i="1"/>
  <c r="O953" i="1"/>
  <c r="O898" i="1"/>
  <c r="O889" i="1"/>
  <c r="O850" i="1"/>
  <c r="O786" i="1"/>
  <c r="O761" i="1"/>
  <c r="O697" i="1"/>
  <c r="O658" i="1"/>
  <c r="O592" i="1"/>
  <c r="O528" i="1"/>
  <c r="O464" i="1"/>
  <c r="O432" i="1"/>
  <c r="O400" i="1"/>
  <c r="O368" i="1"/>
  <c r="O336" i="1"/>
  <c r="O208" i="1"/>
  <c r="O144" i="1"/>
  <c r="O112" i="1"/>
  <c r="O80" i="1"/>
  <c r="O16" i="1"/>
  <c r="O1000" i="1"/>
  <c r="O992" i="1"/>
  <c r="O984" i="1"/>
  <c r="O968" i="1"/>
  <c r="O952" i="1"/>
  <c r="O906" i="1"/>
  <c r="O888" i="1"/>
  <c r="O849" i="1"/>
  <c r="O824" i="1"/>
  <c r="O760" i="1"/>
  <c r="O682" i="1"/>
  <c r="O657" i="1"/>
  <c r="O618" i="1"/>
  <c r="O552" i="1"/>
  <c r="O448" i="1"/>
  <c r="O344" i="1"/>
  <c r="O40" i="1"/>
  <c r="O751" i="1"/>
  <c r="O727" i="1"/>
  <c r="O687" i="1"/>
  <c r="O671" i="1"/>
  <c r="O655" i="1"/>
  <c r="O631" i="1"/>
  <c r="O623" i="1"/>
  <c r="O551" i="1"/>
  <c r="O519" i="1"/>
  <c r="O487" i="1"/>
  <c r="O263" i="1"/>
  <c r="O231" i="1"/>
  <c r="O7" i="1"/>
  <c r="O983" i="1"/>
  <c r="O959" i="1"/>
  <c r="O770" i="1"/>
  <c r="O584" i="1"/>
  <c r="O447" i="1"/>
  <c r="O120" i="1"/>
  <c r="O72" i="1"/>
  <c r="O782" i="1"/>
  <c r="O750" i="1"/>
  <c r="O646" i="1"/>
  <c r="O638" i="1"/>
  <c r="O582" i="1"/>
  <c r="O518" i="1"/>
  <c r="O454" i="1"/>
  <c r="O390" i="1"/>
  <c r="O326" i="1"/>
  <c r="O262" i="1"/>
  <c r="O230" i="1"/>
  <c r="O6" i="1"/>
  <c r="D6" i="2" s="1" a="1"/>
  <c r="D6" i="2" s="1"/>
  <c r="O982" i="1"/>
  <c r="O913" i="1"/>
  <c r="O894" i="1"/>
  <c r="O858" i="1"/>
  <c r="O833" i="1"/>
  <c r="O808" i="1"/>
  <c r="O730" i="1"/>
  <c r="O705" i="1"/>
  <c r="O360" i="1"/>
  <c r="O342" i="1"/>
  <c r="O256" i="1"/>
  <c r="O604" i="1"/>
  <c r="O572" i="1"/>
  <c r="O540" i="1"/>
  <c r="O508" i="1"/>
  <c r="O476" i="1"/>
  <c r="O444" i="1"/>
  <c r="O412" i="1"/>
  <c r="O380" i="1"/>
  <c r="O348" i="1"/>
  <c r="O316" i="1"/>
  <c r="O284" i="1"/>
  <c r="O252" i="1"/>
  <c r="O220" i="1"/>
  <c r="O188" i="1"/>
  <c r="O156" i="1"/>
  <c r="O124" i="1"/>
  <c r="O92" i="1"/>
  <c r="O60" i="1"/>
  <c r="O28" i="1"/>
  <c r="O996" i="1"/>
  <c r="O980" i="1"/>
  <c r="O964" i="1"/>
  <c r="O947" i="1"/>
  <c r="O938" i="1"/>
  <c r="O929" i="1"/>
  <c r="O920" i="1"/>
  <c r="O910" i="1"/>
  <c r="O901" i="1"/>
  <c r="O874" i="1"/>
  <c r="O865" i="1"/>
  <c r="O856" i="1"/>
  <c r="O842" i="1"/>
  <c r="O828" i="1"/>
  <c r="O817" i="1"/>
  <c r="O803" i="1"/>
  <c r="O792" i="1"/>
  <c r="O778" i="1"/>
  <c r="O753" i="1"/>
  <c r="O739" i="1"/>
  <c r="O728" i="1"/>
  <c r="O714" i="1"/>
  <c r="O689" i="1"/>
  <c r="O675" i="1"/>
  <c r="O664" i="1"/>
  <c r="O650" i="1"/>
  <c r="O636" i="1"/>
  <c r="O625" i="1"/>
  <c r="O611" i="1"/>
  <c r="O596" i="1"/>
  <c r="O558" i="1"/>
  <c r="O543" i="1"/>
  <c r="O492" i="1"/>
  <c r="O459" i="1"/>
  <c r="O439" i="1"/>
  <c r="O406" i="1"/>
  <c r="O388" i="1"/>
  <c r="O355" i="1"/>
  <c r="O340" i="1"/>
  <c r="O302" i="1"/>
  <c r="O287" i="1"/>
  <c r="O236" i="1"/>
  <c r="O203" i="1"/>
  <c r="O183" i="1"/>
  <c r="O150" i="1"/>
  <c r="O132" i="1"/>
  <c r="O99" i="1"/>
  <c r="O84" i="1"/>
  <c r="O64" i="1"/>
  <c r="O46" i="1"/>
  <c r="O31" i="1"/>
  <c r="O13" i="1"/>
  <c r="O951" i="1"/>
  <c r="O943" i="1"/>
  <c r="O855" i="1"/>
  <c r="O847" i="1"/>
  <c r="O823" i="1"/>
  <c r="O815" i="1"/>
  <c r="O791" i="1"/>
  <c r="O783" i="1"/>
  <c r="O759" i="1"/>
  <c r="O719" i="1"/>
  <c r="O295" i="1"/>
  <c r="O199" i="1"/>
  <c r="O39" i="1"/>
  <c r="O975" i="1"/>
  <c r="O905" i="1"/>
  <c r="O809" i="1"/>
  <c r="O642" i="1"/>
  <c r="O376" i="1"/>
  <c r="O846" i="1"/>
  <c r="O814" i="1"/>
  <c r="O718" i="1"/>
  <c r="O670" i="1"/>
  <c r="O654" i="1"/>
  <c r="O622" i="1"/>
  <c r="O486" i="1"/>
  <c r="O198" i="1"/>
  <c r="O134" i="1"/>
  <c r="O70" i="1"/>
  <c r="O974" i="1"/>
  <c r="O922" i="1"/>
  <c r="O794" i="1"/>
  <c r="O769" i="1"/>
  <c r="O666" i="1"/>
  <c r="O616" i="1"/>
  <c r="O479" i="1"/>
  <c r="O446" i="1"/>
  <c r="O375" i="1"/>
  <c r="O223" i="1"/>
  <c r="O119" i="1"/>
  <c r="O603" i="1"/>
  <c r="O595" i="1"/>
  <c r="O571" i="1"/>
  <c r="O563" i="1"/>
  <c r="O539" i="1"/>
  <c r="O531" i="1"/>
  <c r="O507" i="1"/>
  <c r="O499" i="1"/>
  <c r="O475" i="1"/>
  <c r="O467" i="1"/>
  <c r="O443" i="1"/>
  <c r="O435" i="1"/>
  <c r="O411" i="1"/>
  <c r="O403" i="1"/>
  <c r="O379" i="1"/>
  <c r="O371" i="1"/>
  <c r="O347" i="1"/>
  <c r="O339" i="1"/>
  <c r="O315" i="1"/>
  <c r="O307" i="1"/>
  <c r="O283" i="1"/>
  <c r="O275" i="1"/>
  <c r="O251" i="1"/>
  <c r="O243" i="1"/>
  <c r="O219" i="1"/>
  <c r="O211" i="1"/>
  <c r="O187" i="1"/>
  <c r="O179" i="1"/>
  <c r="O155" i="1"/>
  <c r="O147" i="1"/>
  <c r="O123" i="1"/>
  <c r="O115" i="1"/>
  <c r="O91" i="1"/>
  <c r="O83" i="1"/>
  <c r="O59" i="1"/>
  <c r="O51" i="1"/>
  <c r="O27" i="1"/>
  <c r="O19" i="1"/>
  <c r="O995" i="1"/>
  <c r="O987" i="1"/>
  <c r="O979" i="1"/>
  <c r="O963" i="1"/>
  <c r="O955" i="1"/>
  <c r="O946" i="1"/>
  <c r="O937" i="1"/>
  <c r="O909" i="1"/>
  <c r="O900" i="1"/>
  <c r="O891" i="1"/>
  <c r="O882" i="1"/>
  <c r="O873" i="1"/>
  <c r="O841" i="1"/>
  <c r="O827" i="1"/>
  <c r="O802" i="1"/>
  <c r="O777" i="1"/>
  <c r="O763" i="1"/>
  <c r="O738" i="1"/>
  <c r="O713" i="1"/>
  <c r="O699" i="1"/>
  <c r="O688" i="1"/>
  <c r="O674" i="1"/>
  <c r="O660" i="1"/>
  <c r="O635" i="1"/>
  <c r="O624" i="1"/>
  <c r="O608" i="1"/>
  <c r="O590" i="1"/>
  <c r="O557" i="1"/>
  <c r="O542" i="1"/>
  <c r="O524" i="1"/>
  <c r="O504" i="1"/>
  <c r="O491" i="1"/>
  <c r="O471" i="1"/>
  <c r="O420" i="1"/>
  <c r="O405" i="1"/>
  <c r="O387" i="1"/>
  <c r="O372" i="1"/>
  <c r="O352" i="1"/>
  <c r="O334" i="1"/>
  <c r="O301" i="1"/>
  <c r="O286" i="1"/>
  <c r="O268" i="1"/>
  <c r="O248" i="1"/>
  <c r="O235" i="1"/>
  <c r="O215" i="1"/>
  <c r="O164" i="1"/>
  <c r="O149" i="1"/>
  <c r="O131" i="1"/>
  <c r="O116" i="1"/>
  <c r="O96" i="1"/>
  <c r="O78" i="1"/>
  <c r="O45" i="1"/>
  <c r="O30" i="1"/>
  <c r="O12" i="1"/>
  <c r="F2" i="8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<sst xmlns="http://schemas.openxmlformats.org/spreadsheetml/2006/main" count="7078" uniqueCount="1068">
  <si>
    <t>Invoice_ID</t>
  </si>
  <si>
    <t>Branch</t>
  </si>
  <si>
    <t>City</t>
  </si>
  <si>
    <t>Customer_ID</t>
  </si>
  <si>
    <t>Customer_Type</t>
  </si>
  <si>
    <t>Gender</t>
  </si>
  <si>
    <t>Product_Line</t>
  </si>
  <si>
    <t>Date</t>
  </si>
  <si>
    <t>Unit_Price</t>
  </si>
  <si>
    <t>Quantity</t>
  </si>
  <si>
    <t>Sales_Amount</t>
  </si>
  <si>
    <t>Profit</t>
  </si>
  <si>
    <t>Payment_Method</t>
  </si>
  <si>
    <t>INV1001</t>
  </si>
  <si>
    <t>Branch C</t>
  </si>
  <si>
    <t>Mandalay</t>
  </si>
  <si>
    <t>Normal</t>
  </si>
  <si>
    <t>Male</t>
  </si>
  <si>
    <t>Fashion</t>
  </si>
  <si>
    <t>E-Wallet</t>
  </si>
  <si>
    <t>INV1002</t>
  </si>
  <si>
    <t>Branch A</t>
  </si>
  <si>
    <t>Female</t>
  </si>
  <si>
    <t>Health &amp; Beauty</t>
  </si>
  <si>
    <t>Cash</t>
  </si>
  <si>
    <t>INV1003</t>
  </si>
  <si>
    <t>Member</t>
  </si>
  <si>
    <t>INV1004</t>
  </si>
  <si>
    <t>Home &amp; Garden</t>
  </si>
  <si>
    <t>INV1005</t>
  </si>
  <si>
    <t>Yangon</t>
  </si>
  <si>
    <t>Electronics</t>
  </si>
  <si>
    <t>INV1006</t>
  </si>
  <si>
    <t>Food &amp; Beverages</t>
  </si>
  <si>
    <t>Credit Card</t>
  </si>
  <si>
    <t>INV1007</t>
  </si>
  <si>
    <t>Naypyidaw</t>
  </si>
  <si>
    <t>Sports &amp; Outdoors</t>
  </si>
  <si>
    <t>INV1008</t>
  </si>
  <si>
    <t>Branch B</t>
  </si>
  <si>
    <t>INV1009</t>
  </si>
  <si>
    <t>INV1010</t>
  </si>
  <si>
    <t>INV1011</t>
  </si>
  <si>
    <t>INV1012</t>
  </si>
  <si>
    <t>INV1013</t>
  </si>
  <si>
    <t>INV1014</t>
  </si>
  <si>
    <t>INV1015</t>
  </si>
  <si>
    <t>INV1016</t>
  </si>
  <si>
    <t>INV1017</t>
  </si>
  <si>
    <t>INV1018</t>
  </si>
  <si>
    <t>INV1019</t>
  </si>
  <si>
    <t>INV1020</t>
  </si>
  <si>
    <t>INV1021</t>
  </si>
  <si>
    <t>INV1022</t>
  </si>
  <si>
    <t>INV1023</t>
  </si>
  <si>
    <t>INV1024</t>
  </si>
  <si>
    <t>INV1025</t>
  </si>
  <si>
    <t>INV1026</t>
  </si>
  <si>
    <t>INV1027</t>
  </si>
  <si>
    <t>INV1028</t>
  </si>
  <si>
    <t>INV1029</t>
  </si>
  <si>
    <t>INV1030</t>
  </si>
  <si>
    <t>INV1031</t>
  </si>
  <si>
    <t>INV1032</t>
  </si>
  <si>
    <t>INV1033</t>
  </si>
  <si>
    <t>INV1034</t>
  </si>
  <si>
    <t>INV1035</t>
  </si>
  <si>
    <t>INV1036</t>
  </si>
  <si>
    <t>INV1037</t>
  </si>
  <si>
    <t>INV1038</t>
  </si>
  <si>
    <t>INV1039</t>
  </si>
  <si>
    <t>INV1040</t>
  </si>
  <si>
    <t>INV1041</t>
  </si>
  <si>
    <t>INV1042</t>
  </si>
  <si>
    <t>INV1043</t>
  </si>
  <si>
    <t>INV1044</t>
  </si>
  <si>
    <t>INV1045</t>
  </si>
  <si>
    <t>INV1046</t>
  </si>
  <si>
    <t>INV1047</t>
  </si>
  <si>
    <t>INV1048</t>
  </si>
  <si>
    <t>INV1049</t>
  </si>
  <si>
    <t>INV1050</t>
  </si>
  <si>
    <t>INV1051</t>
  </si>
  <si>
    <t>INV1052</t>
  </si>
  <si>
    <t>INV1053</t>
  </si>
  <si>
    <t>INV1054</t>
  </si>
  <si>
    <t>INV1055</t>
  </si>
  <si>
    <t>INV1056</t>
  </si>
  <si>
    <t>INV1057</t>
  </si>
  <si>
    <t>INV1058</t>
  </si>
  <si>
    <t>INV1059</t>
  </si>
  <si>
    <t>INV1060</t>
  </si>
  <si>
    <t>INV1061</t>
  </si>
  <si>
    <t>INV1062</t>
  </si>
  <si>
    <t>INV1063</t>
  </si>
  <si>
    <t>INV1064</t>
  </si>
  <si>
    <t>INV1065</t>
  </si>
  <si>
    <t>INV1066</t>
  </si>
  <si>
    <t>INV1067</t>
  </si>
  <si>
    <t>INV1068</t>
  </si>
  <si>
    <t>INV1069</t>
  </si>
  <si>
    <t>INV1070</t>
  </si>
  <si>
    <t>INV1071</t>
  </si>
  <si>
    <t>INV1072</t>
  </si>
  <si>
    <t>INV1073</t>
  </si>
  <si>
    <t>INV1074</t>
  </si>
  <si>
    <t>INV1075</t>
  </si>
  <si>
    <t>INV1076</t>
  </si>
  <si>
    <t>INV1077</t>
  </si>
  <si>
    <t>INV1078</t>
  </si>
  <si>
    <t>INV1079</t>
  </si>
  <si>
    <t>INV1080</t>
  </si>
  <si>
    <t>INV1081</t>
  </si>
  <si>
    <t>INV1082</t>
  </si>
  <si>
    <t>INV1083</t>
  </si>
  <si>
    <t>INV1084</t>
  </si>
  <si>
    <t>INV1085</t>
  </si>
  <si>
    <t>INV1086</t>
  </si>
  <si>
    <t>INV1087</t>
  </si>
  <si>
    <t>INV1088</t>
  </si>
  <si>
    <t>INV1089</t>
  </si>
  <si>
    <t>INV1090</t>
  </si>
  <si>
    <t>INV1091</t>
  </si>
  <si>
    <t>INV1092</t>
  </si>
  <si>
    <t>INV1093</t>
  </si>
  <si>
    <t>INV1094</t>
  </si>
  <si>
    <t>INV1095</t>
  </si>
  <si>
    <t>INV1096</t>
  </si>
  <si>
    <t>INV1097</t>
  </si>
  <si>
    <t>INV1098</t>
  </si>
  <si>
    <t>INV1099</t>
  </si>
  <si>
    <t>INV1100</t>
  </si>
  <si>
    <t>INV1101</t>
  </si>
  <si>
    <t>INV1102</t>
  </si>
  <si>
    <t>INV1103</t>
  </si>
  <si>
    <t>INV1104</t>
  </si>
  <si>
    <t>INV1105</t>
  </si>
  <si>
    <t>INV1106</t>
  </si>
  <si>
    <t>INV1107</t>
  </si>
  <si>
    <t>INV1108</t>
  </si>
  <si>
    <t>INV1109</t>
  </si>
  <si>
    <t>INV1110</t>
  </si>
  <si>
    <t>INV1111</t>
  </si>
  <si>
    <t>INV1112</t>
  </si>
  <si>
    <t>INV1113</t>
  </si>
  <si>
    <t>INV1114</t>
  </si>
  <si>
    <t>INV1115</t>
  </si>
  <si>
    <t>INV1116</t>
  </si>
  <si>
    <t>INV1117</t>
  </si>
  <si>
    <t>INV1118</t>
  </si>
  <si>
    <t>INV1119</t>
  </si>
  <si>
    <t>INV1120</t>
  </si>
  <si>
    <t>INV1121</t>
  </si>
  <si>
    <t>INV1122</t>
  </si>
  <si>
    <t>INV1123</t>
  </si>
  <si>
    <t>INV1124</t>
  </si>
  <si>
    <t>INV1125</t>
  </si>
  <si>
    <t>INV1126</t>
  </si>
  <si>
    <t>INV1127</t>
  </si>
  <si>
    <t>INV1128</t>
  </si>
  <si>
    <t>INV1129</t>
  </si>
  <si>
    <t>INV1130</t>
  </si>
  <si>
    <t>INV1131</t>
  </si>
  <si>
    <t>INV1132</t>
  </si>
  <si>
    <t>INV1133</t>
  </si>
  <si>
    <t>INV1134</t>
  </si>
  <si>
    <t>INV1135</t>
  </si>
  <si>
    <t>INV1136</t>
  </si>
  <si>
    <t>INV1137</t>
  </si>
  <si>
    <t>INV1138</t>
  </si>
  <si>
    <t>INV1139</t>
  </si>
  <si>
    <t>INV1140</t>
  </si>
  <si>
    <t>INV1141</t>
  </si>
  <si>
    <t>INV1142</t>
  </si>
  <si>
    <t>INV1143</t>
  </si>
  <si>
    <t>INV1144</t>
  </si>
  <si>
    <t>INV1145</t>
  </si>
  <si>
    <t>INV1146</t>
  </si>
  <si>
    <t>INV1147</t>
  </si>
  <si>
    <t>INV1148</t>
  </si>
  <si>
    <t>INV1149</t>
  </si>
  <si>
    <t>INV1150</t>
  </si>
  <si>
    <t>INV1151</t>
  </si>
  <si>
    <t>INV1152</t>
  </si>
  <si>
    <t>INV1153</t>
  </si>
  <si>
    <t>INV1154</t>
  </si>
  <si>
    <t>INV1155</t>
  </si>
  <si>
    <t>INV1156</t>
  </si>
  <si>
    <t>INV1157</t>
  </si>
  <si>
    <t>INV1158</t>
  </si>
  <si>
    <t>INV1159</t>
  </si>
  <si>
    <t>INV1160</t>
  </si>
  <si>
    <t>INV1161</t>
  </si>
  <si>
    <t>INV1162</t>
  </si>
  <si>
    <t>INV1163</t>
  </si>
  <si>
    <t>INV1164</t>
  </si>
  <si>
    <t>INV1165</t>
  </si>
  <si>
    <t>INV1166</t>
  </si>
  <si>
    <t>INV1167</t>
  </si>
  <si>
    <t>INV1168</t>
  </si>
  <si>
    <t>INV1169</t>
  </si>
  <si>
    <t>INV1170</t>
  </si>
  <si>
    <t>INV1171</t>
  </si>
  <si>
    <t>INV1172</t>
  </si>
  <si>
    <t>INV1173</t>
  </si>
  <si>
    <t>INV1174</t>
  </si>
  <si>
    <t>INV1175</t>
  </si>
  <si>
    <t>INV1176</t>
  </si>
  <si>
    <t>INV1177</t>
  </si>
  <si>
    <t>INV1178</t>
  </si>
  <si>
    <t>INV1179</t>
  </si>
  <si>
    <t>INV1180</t>
  </si>
  <si>
    <t>INV1181</t>
  </si>
  <si>
    <t>INV1182</t>
  </si>
  <si>
    <t>INV1183</t>
  </si>
  <si>
    <t>INV1184</t>
  </si>
  <si>
    <t>INV1185</t>
  </si>
  <si>
    <t>INV1186</t>
  </si>
  <si>
    <t>INV1187</t>
  </si>
  <si>
    <t>INV1188</t>
  </si>
  <si>
    <t>INV1189</t>
  </si>
  <si>
    <t>INV1190</t>
  </si>
  <si>
    <t>INV1191</t>
  </si>
  <si>
    <t>INV1192</t>
  </si>
  <si>
    <t>INV1193</t>
  </si>
  <si>
    <t>INV1194</t>
  </si>
  <si>
    <t>INV1195</t>
  </si>
  <si>
    <t>INV1196</t>
  </si>
  <si>
    <t>INV1197</t>
  </si>
  <si>
    <t>INV1198</t>
  </si>
  <si>
    <t>INV1199</t>
  </si>
  <si>
    <t>INV1200</t>
  </si>
  <si>
    <t>INV1201</t>
  </si>
  <si>
    <t>INV1202</t>
  </si>
  <si>
    <t>INV1203</t>
  </si>
  <si>
    <t>INV1204</t>
  </si>
  <si>
    <t>INV1205</t>
  </si>
  <si>
    <t>INV1206</t>
  </si>
  <si>
    <t>INV1207</t>
  </si>
  <si>
    <t>INV1208</t>
  </si>
  <si>
    <t>INV1209</t>
  </si>
  <si>
    <t>INV1210</t>
  </si>
  <si>
    <t>INV1211</t>
  </si>
  <si>
    <t>INV1212</t>
  </si>
  <si>
    <t>INV1213</t>
  </si>
  <si>
    <t>INV1214</t>
  </si>
  <si>
    <t>INV1215</t>
  </si>
  <si>
    <t>INV1216</t>
  </si>
  <si>
    <t>INV1217</t>
  </si>
  <si>
    <t>INV1218</t>
  </si>
  <si>
    <t>INV1219</t>
  </si>
  <si>
    <t>INV1220</t>
  </si>
  <si>
    <t>INV1221</t>
  </si>
  <si>
    <t>INV1222</t>
  </si>
  <si>
    <t>INV1223</t>
  </si>
  <si>
    <t>INV1224</t>
  </si>
  <si>
    <t>INV1225</t>
  </si>
  <si>
    <t>INV1226</t>
  </si>
  <si>
    <t>INV1227</t>
  </si>
  <si>
    <t>INV1228</t>
  </si>
  <si>
    <t>INV1229</t>
  </si>
  <si>
    <t>INV1230</t>
  </si>
  <si>
    <t>INV1231</t>
  </si>
  <si>
    <t>INV1232</t>
  </si>
  <si>
    <t>INV1233</t>
  </si>
  <si>
    <t>INV1234</t>
  </si>
  <si>
    <t>INV1235</t>
  </si>
  <si>
    <t>INV1236</t>
  </si>
  <si>
    <t>INV1237</t>
  </si>
  <si>
    <t>INV1238</t>
  </si>
  <si>
    <t>INV1239</t>
  </si>
  <si>
    <t>INV1240</t>
  </si>
  <si>
    <t>INV1241</t>
  </si>
  <si>
    <t>INV1242</t>
  </si>
  <si>
    <t>INV1243</t>
  </si>
  <si>
    <t>INV1244</t>
  </si>
  <si>
    <t>INV1245</t>
  </si>
  <si>
    <t>INV1246</t>
  </si>
  <si>
    <t>INV1247</t>
  </si>
  <si>
    <t>INV1248</t>
  </si>
  <si>
    <t>INV1249</t>
  </si>
  <si>
    <t>INV1250</t>
  </si>
  <si>
    <t>INV1251</t>
  </si>
  <si>
    <t>INV1252</t>
  </si>
  <si>
    <t>INV1253</t>
  </si>
  <si>
    <t>INV1254</t>
  </si>
  <si>
    <t>INV1255</t>
  </si>
  <si>
    <t>INV1256</t>
  </si>
  <si>
    <t>INV1257</t>
  </si>
  <si>
    <t>INV1258</t>
  </si>
  <si>
    <t>INV1259</t>
  </si>
  <si>
    <t>INV1260</t>
  </si>
  <si>
    <t>INV1261</t>
  </si>
  <si>
    <t>INV1262</t>
  </si>
  <si>
    <t>INV1263</t>
  </si>
  <si>
    <t>INV1264</t>
  </si>
  <si>
    <t>INV1265</t>
  </si>
  <si>
    <t>INV1266</t>
  </si>
  <si>
    <t>INV1267</t>
  </si>
  <si>
    <t>INV1268</t>
  </si>
  <si>
    <t>INV1269</t>
  </si>
  <si>
    <t>INV1270</t>
  </si>
  <si>
    <t>INV1271</t>
  </si>
  <si>
    <t>INV1272</t>
  </si>
  <si>
    <t>INV1273</t>
  </si>
  <si>
    <t>INV1274</t>
  </si>
  <si>
    <t>INV1275</t>
  </si>
  <si>
    <t>INV1276</t>
  </si>
  <si>
    <t>INV1277</t>
  </si>
  <si>
    <t>INV1278</t>
  </si>
  <si>
    <t>INV1279</t>
  </si>
  <si>
    <t>INV1280</t>
  </si>
  <si>
    <t>INV1281</t>
  </si>
  <si>
    <t>INV1282</t>
  </si>
  <si>
    <t>INV1283</t>
  </si>
  <si>
    <t>INV1284</t>
  </si>
  <si>
    <t>INV1285</t>
  </si>
  <si>
    <t>INV1286</t>
  </si>
  <si>
    <t>INV1287</t>
  </si>
  <si>
    <t>INV1288</t>
  </si>
  <si>
    <t>INV1289</t>
  </si>
  <si>
    <t>INV1290</t>
  </si>
  <si>
    <t>INV1291</t>
  </si>
  <si>
    <t>INV1292</t>
  </si>
  <si>
    <t>INV1293</t>
  </si>
  <si>
    <t>INV1294</t>
  </si>
  <si>
    <t>INV1295</t>
  </si>
  <si>
    <t>INV1296</t>
  </si>
  <si>
    <t>INV1297</t>
  </si>
  <si>
    <t>INV1298</t>
  </si>
  <si>
    <t>INV1299</t>
  </si>
  <si>
    <t>INV1300</t>
  </si>
  <si>
    <t>INV1301</t>
  </si>
  <si>
    <t>INV1302</t>
  </si>
  <si>
    <t>INV1303</t>
  </si>
  <si>
    <t>INV1304</t>
  </si>
  <si>
    <t>INV1305</t>
  </si>
  <si>
    <t>INV1306</t>
  </si>
  <si>
    <t>INV1307</t>
  </si>
  <si>
    <t>INV1308</t>
  </si>
  <si>
    <t>INV1309</t>
  </si>
  <si>
    <t>INV1310</t>
  </si>
  <si>
    <t>INV1311</t>
  </si>
  <si>
    <t>INV1312</t>
  </si>
  <si>
    <t>INV1313</t>
  </si>
  <si>
    <t>INV1314</t>
  </si>
  <si>
    <t>INV1315</t>
  </si>
  <si>
    <t>INV1316</t>
  </si>
  <si>
    <t>INV1317</t>
  </si>
  <si>
    <t>INV1318</t>
  </si>
  <si>
    <t>INV1319</t>
  </si>
  <si>
    <t>INV1320</t>
  </si>
  <si>
    <t>INV1321</t>
  </si>
  <si>
    <t>INV1322</t>
  </si>
  <si>
    <t>INV1323</t>
  </si>
  <si>
    <t>INV1324</t>
  </si>
  <si>
    <t>INV1325</t>
  </si>
  <si>
    <t>INV1326</t>
  </si>
  <si>
    <t>INV1327</t>
  </si>
  <si>
    <t>INV1328</t>
  </si>
  <si>
    <t>INV1329</t>
  </si>
  <si>
    <t>INV1330</t>
  </si>
  <si>
    <t>INV1331</t>
  </si>
  <si>
    <t>INV1332</t>
  </si>
  <si>
    <t>INV1333</t>
  </si>
  <si>
    <t>INV1334</t>
  </si>
  <si>
    <t>INV1335</t>
  </si>
  <si>
    <t>INV1336</t>
  </si>
  <si>
    <t>INV1337</t>
  </si>
  <si>
    <t>INV1338</t>
  </si>
  <si>
    <t>INV1339</t>
  </si>
  <si>
    <t>INV1340</t>
  </si>
  <si>
    <t>INV1341</t>
  </si>
  <si>
    <t>INV1342</t>
  </si>
  <si>
    <t>INV1343</t>
  </si>
  <si>
    <t>INV1344</t>
  </si>
  <si>
    <t>INV1345</t>
  </si>
  <si>
    <t>INV1346</t>
  </si>
  <si>
    <t>INV1347</t>
  </si>
  <si>
    <t>INV1348</t>
  </si>
  <si>
    <t>INV1349</t>
  </si>
  <si>
    <t>INV1350</t>
  </si>
  <si>
    <t>INV1351</t>
  </si>
  <si>
    <t>INV1352</t>
  </si>
  <si>
    <t>INV1353</t>
  </si>
  <si>
    <t>INV1354</t>
  </si>
  <si>
    <t>INV1355</t>
  </si>
  <si>
    <t>INV1356</t>
  </si>
  <si>
    <t>INV1357</t>
  </si>
  <si>
    <t>INV1358</t>
  </si>
  <si>
    <t>INV1359</t>
  </si>
  <si>
    <t>INV1360</t>
  </si>
  <si>
    <t>INV1361</t>
  </si>
  <si>
    <t>INV1362</t>
  </si>
  <si>
    <t>INV1363</t>
  </si>
  <si>
    <t>INV1364</t>
  </si>
  <si>
    <t>INV1365</t>
  </si>
  <si>
    <t>INV1366</t>
  </si>
  <si>
    <t>INV1367</t>
  </si>
  <si>
    <t>INV1368</t>
  </si>
  <si>
    <t>INV1369</t>
  </si>
  <si>
    <t>INV1370</t>
  </si>
  <si>
    <t>INV1371</t>
  </si>
  <si>
    <t>INV1372</t>
  </si>
  <si>
    <t>INV1373</t>
  </si>
  <si>
    <t>INV1374</t>
  </si>
  <si>
    <t>INV1375</t>
  </si>
  <si>
    <t>INV1376</t>
  </si>
  <si>
    <t>INV1377</t>
  </si>
  <si>
    <t>INV1378</t>
  </si>
  <si>
    <t>INV1379</t>
  </si>
  <si>
    <t>INV1380</t>
  </si>
  <si>
    <t>INV1381</t>
  </si>
  <si>
    <t>INV1382</t>
  </si>
  <si>
    <t>INV1383</t>
  </si>
  <si>
    <t>INV1384</t>
  </si>
  <si>
    <t>INV1385</t>
  </si>
  <si>
    <t>INV1386</t>
  </si>
  <si>
    <t>INV1387</t>
  </si>
  <si>
    <t>INV1388</t>
  </si>
  <si>
    <t>INV1389</t>
  </si>
  <si>
    <t>INV1390</t>
  </si>
  <si>
    <t>INV1391</t>
  </si>
  <si>
    <t>INV1392</t>
  </si>
  <si>
    <t>INV1393</t>
  </si>
  <si>
    <t>INV1394</t>
  </si>
  <si>
    <t>INV1395</t>
  </si>
  <si>
    <t>INV1396</t>
  </si>
  <si>
    <t>INV1397</t>
  </si>
  <si>
    <t>INV1398</t>
  </si>
  <si>
    <t>INV1399</t>
  </si>
  <si>
    <t>INV1400</t>
  </si>
  <si>
    <t>INV1401</t>
  </si>
  <si>
    <t>INV1402</t>
  </si>
  <si>
    <t>INV1403</t>
  </si>
  <si>
    <t>INV1404</t>
  </si>
  <si>
    <t>INV1405</t>
  </si>
  <si>
    <t>INV1406</t>
  </si>
  <si>
    <t>INV1407</t>
  </si>
  <si>
    <t>INV1408</t>
  </si>
  <si>
    <t>INV1409</t>
  </si>
  <si>
    <t>INV1410</t>
  </si>
  <si>
    <t>INV1411</t>
  </si>
  <si>
    <t>INV1412</t>
  </si>
  <si>
    <t>INV1413</t>
  </si>
  <si>
    <t>INV1414</t>
  </si>
  <si>
    <t>INV1415</t>
  </si>
  <si>
    <t>INV1416</t>
  </si>
  <si>
    <t>INV1417</t>
  </si>
  <si>
    <t>INV1418</t>
  </si>
  <si>
    <t>INV1419</t>
  </si>
  <si>
    <t>INV1420</t>
  </si>
  <si>
    <t>INV1421</t>
  </si>
  <si>
    <t>INV1422</t>
  </si>
  <si>
    <t>INV1423</t>
  </si>
  <si>
    <t>INV1424</t>
  </si>
  <si>
    <t>INV1425</t>
  </si>
  <si>
    <t>INV1426</t>
  </si>
  <si>
    <t>INV1427</t>
  </si>
  <si>
    <t>INV1428</t>
  </si>
  <si>
    <t>INV1429</t>
  </si>
  <si>
    <t>INV1430</t>
  </si>
  <si>
    <t>INV1431</t>
  </si>
  <si>
    <t>INV1432</t>
  </si>
  <si>
    <t>INV1433</t>
  </si>
  <si>
    <t>INV1434</t>
  </si>
  <si>
    <t>INV1435</t>
  </si>
  <si>
    <t>INV1436</t>
  </si>
  <si>
    <t>INV1437</t>
  </si>
  <si>
    <t>INV1438</t>
  </si>
  <si>
    <t>INV1439</t>
  </si>
  <si>
    <t>INV1440</t>
  </si>
  <si>
    <t>INV1441</t>
  </si>
  <si>
    <t>INV1442</t>
  </si>
  <si>
    <t>INV1443</t>
  </si>
  <si>
    <t>INV1444</t>
  </si>
  <si>
    <t>INV1445</t>
  </si>
  <si>
    <t>INV1446</t>
  </si>
  <si>
    <t>INV1447</t>
  </si>
  <si>
    <t>INV1448</t>
  </si>
  <si>
    <t>INV1449</t>
  </si>
  <si>
    <t>INV1450</t>
  </si>
  <si>
    <t>INV1451</t>
  </si>
  <si>
    <t>INV1452</t>
  </si>
  <si>
    <t>INV1453</t>
  </si>
  <si>
    <t>INV1454</t>
  </si>
  <si>
    <t>INV1455</t>
  </si>
  <si>
    <t>INV1456</t>
  </si>
  <si>
    <t>INV1457</t>
  </si>
  <si>
    <t>INV1458</t>
  </si>
  <si>
    <t>INV1459</t>
  </si>
  <si>
    <t>INV1460</t>
  </si>
  <si>
    <t>INV1461</t>
  </si>
  <si>
    <t>INV1462</t>
  </si>
  <si>
    <t>INV1463</t>
  </si>
  <si>
    <t>INV1464</t>
  </si>
  <si>
    <t>INV1465</t>
  </si>
  <si>
    <t>INV1466</t>
  </si>
  <si>
    <t>INV1467</t>
  </si>
  <si>
    <t>INV1468</t>
  </si>
  <si>
    <t>INV1469</t>
  </si>
  <si>
    <t>INV1470</t>
  </si>
  <si>
    <t>INV1471</t>
  </si>
  <si>
    <t>INV1472</t>
  </si>
  <si>
    <t>INV1473</t>
  </si>
  <si>
    <t>INV1474</t>
  </si>
  <si>
    <t>INV1475</t>
  </si>
  <si>
    <t>INV1476</t>
  </si>
  <si>
    <t>INV1477</t>
  </si>
  <si>
    <t>INV1478</t>
  </si>
  <si>
    <t>INV1479</t>
  </si>
  <si>
    <t>INV1480</t>
  </si>
  <si>
    <t>INV1481</t>
  </si>
  <si>
    <t>INV1482</t>
  </si>
  <si>
    <t>INV1483</t>
  </si>
  <si>
    <t>INV1484</t>
  </si>
  <si>
    <t>INV1485</t>
  </si>
  <si>
    <t>INV1486</t>
  </si>
  <si>
    <t>INV1487</t>
  </si>
  <si>
    <t>INV1488</t>
  </si>
  <si>
    <t>INV1489</t>
  </si>
  <si>
    <t>INV1490</t>
  </si>
  <si>
    <t>INV1491</t>
  </si>
  <si>
    <t>INV1492</t>
  </si>
  <si>
    <t>INV1493</t>
  </si>
  <si>
    <t>INV1494</t>
  </si>
  <si>
    <t>INV1495</t>
  </si>
  <si>
    <t>INV1496</t>
  </si>
  <si>
    <t>INV1497</t>
  </si>
  <si>
    <t>INV1498</t>
  </si>
  <si>
    <t>INV1499</t>
  </si>
  <si>
    <t>INV1500</t>
  </si>
  <si>
    <t>INV1501</t>
  </si>
  <si>
    <t>INV1502</t>
  </si>
  <si>
    <t>INV1503</t>
  </si>
  <si>
    <t>INV1504</t>
  </si>
  <si>
    <t>INV1505</t>
  </si>
  <si>
    <t>INV1506</t>
  </si>
  <si>
    <t>INV1507</t>
  </si>
  <si>
    <t>INV1508</t>
  </si>
  <si>
    <t>INV1509</t>
  </si>
  <si>
    <t>INV1510</t>
  </si>
  <si>
    <t>INV1511</t>
  </si>
  <si>
    <t>INV1512</t>
  </si>
  <si>
    <t>INV1513</t>
  </si>
  <si>
    <t>INV1514</t>
  </si>
  <si>
    <t>INV1515</t>
  </si>
  <si>
    <t>INV1516</t>
  </si>
  <si>
    <t>INV1517</t>
  </si>
  <si>
    <t>INV1518</t>
  </si>
  <si>
    <t>INV1519</t>
  </si>
  <si>
    <t>INV1520</t>
  </si>
  <si>
    <t>INV1521</t>
  </si>
  <si>
    <t>INV1522</t>
  </si>
  <si>
    <t>INV1523</t>
  </si>
  <si>
    <t>INV1524</t>
  </si>
  <si>
    <t>INV1525</t>
  </si>
  <si>
    <t>INV1526</t>
  </si>
  <si>
    <t>INV1527</t>
  </si>
  <si>
    <t>INV1528</t>
  </si>
  <si>
    <t>INV1529</t>
  </si>
  <si>
    <t>INV1530</t>
  </si>
  <si>
    <t>INV1531</t>
  </si>
  <si>
    <t>INV1532</t>
  </si>
  <si>
    <t>INV1533</t>
  </si>
  <si>
    <t>INV1534</t>
  </si>
  <si>
    <t>INV1535</t>
  </si>
  <si>
    <t>INV1536</t>
  </si>
  <si>
    <t>INV1537</t>
  </si>
  <si>
    <t>INV1538</t>
  </si>
  <si>
    <t>INV1539</t>
  </si>
  <si>
    <t>INV1540</t>
  </si>
  <si>
    <t>INV1541</t>
  </si>
  <si>
    <t>INV1542</t>
  </si>
  <si>
    <t>INV1543</t>
  </si>
  <si>
    <t>INV1544</t>
  </si>
  <si>
    <t>INV1545</t>
  </si>
  <si>
    <t>INV1546</t>
  </si>
  <si>
    <t>INV1547</t>
  </si>
  <si>
    <t>INV1548</t>
  </si>
  <si>
    <t>INV1549</t>
  </si>
  <si>
    <t>INV1550</t>
  </si>
  <si>
    <t>INV1551</t>
  </si>
  <si>
    <t>INV1552</t>
  </si>
  <si>
    <t>INV1553</t>
  </si>
  <si>
    <t>INV1554</t>
  </si>
  <si>
    <t>INV1555</t>
  </si>
  <si>
    <t>INV1556</t>
  </si>
  <si>
    <t>INV1557</t>
  </si>
  <si>
    <t>INV1558</t>
  </si>
  <si>
    <t>INV1559</t>
  </si>
  <si>
    <t>INV1560</t>
  </si>
  <si>
    <t>INV1561</t>
  </si>
  <si>
    <t>INV1562</t>
  </si>
  <si>
    <t>INV1563</t>
  </si>
  <si>
    <t>INV1564</t>
  </si>
  <si>
    <t>INV1565</t>
  </si>
  <si>
    <t>INV1566</t>
  </si>
  <si>
    <t>INV1567</t>
  </si>
  <si>
    <t>INV1568</t>
  </si>
  <si>
    <t>INV1569</t>
  </si>
  <si>
    <t>INV1570</t>
  </si>
  <si>
    <t>INV1571</t>
  </si>
  <si>
    <t>INV1572</t>
  </si>
  <si>
    <t>INV1573</t>
  </si>
  <si>
    <t>INV1574</t>
  </si>
  <si>
    <t>INV1575</t>
  </si>
  <si>
    <t>INV1576</t>
  </si>
  <si>
    <t>INV1577</t>
  </si>
  <si>
    <t>INV1578</t>
  </si>
  <si>
    <t>INV1579</t>
  </si>
  <si>
    <t>INV1580</t>
  </si>
  <si>
    <t>INV1581</t>
  </si>
  <si>
    <t>INV1582</t>
  </si>
  <si>
    <t>INV1583</t>
  </si>
  <si>
    <t>INV1584</t>
  </si>
  <si>
    <t>INV1585</t>
  </si>
  <si>
    <t>INV1586</t>
  </si>
  <si>
    <t>INV1587</t>
  </si>
  <si>
    <t>INV1588</t>
  </si>
  <si>
    <t>INV1589</t>
  </si>
  <si>
    <t>INV1590</t>
  </si>
  <si>
    <t>INV1591</t>
  </si>
  <si>
    <t>INV1592</t>
  </si>
  <si>
    <t>INV1593</t>
  </si>
  <si>
    <t>INV1594</t>
  </si>
  <si>
    <t>INV1595</t>
  </si>
  <si>
    <t>INV1596</t>
  </si>
  <si>
    <t>INV1597</t>
  </si>
  <si>
    <t>INV1598</t>
  </si>
  <si>
    <t>INV1599</t>
  </si>
  <si>
    <t>INV1600</t>
  </si>
  <si>
    <t>INV1601</t>
  </si>
  <si>
    <t>INV1602</t>
  </si>
  <si>
    <t>INV1603</t>
  </si>
  <si>
    <t>INV1604</t>
  </si>
  <si>
    <t>INV1605</t>
  </si>
  <si>
    <t>INV1606</t>
  </si>
  <si>
    <t>INV1607</t>
  </si>
  <si>
    <t>INV1608</t>
  </si>
  <si>
    <t>INV1609</t>
  </si>
  <si>
    <t>INV1610</t>
  </si>
  <si>
    <t>INV1611</t>
  </si>
  <si>
    <t>INV1612</t>
  </si>
  <si>
    <t>INV1613</t>
  </si>
  <si>
    <t>INV1614</t>
  </si>
  <si>
    <t>INV1615</t>
  </si>
  <si>
    <t>INV1616</t>
  </si>
  <si>
    <t>INV1617</t>
  </si>
  <si>
    <t>INV1618</t>
  </si>
  <si>
    <t>INV1619</t>
  </si>
  <si>
    <t>INV1620</t>
  </si>
  <si>
    <t>INV1621</t>
  </si>
  <si>
    <t>INV1622</t>
  </si>
  <si>
    <t>INV1623</t>
  </si>
  <si>
    <t>INV1624</t>
  </si>
  <si>
    <t>INV1625</t>
  </si>
  <si>
    <t>INV1626</t>
  </si>
  <si>
    <t>INV1627</t>
  </si>
  <si>
    <t>INV1628</t>
  </si>
  <si>
    <t>INV1629</t>
  </si>
  <si>
    <t>INV1630</t>
  </si>
  <si>
    <t>INV1631</t>
  </si>
  <si>
    <t>INV1632</t>
  </si>
  <si>
    <t>INV1633</t>
  </si>
  <si>
    <t>INV1634</t>
  </si>
  <si>
    <t>INV1635</t>
  </si>
  <si>
    <t>INV1636</t>
  </si>
  <si>
    <t>INV1637</t>
  </si>
  <si>
    <t>INV1638</t>
  </si>
  <si>
    <t>INV1639</t>
  </si>
  <si>
    <t>INV1640</t>
  </si>
  <si>
    <t>INV1641</t>
  </si>
  <si>
    <t>INV1642</t>
  </si>
  <si>
    <t>INV1643</t>
  </si>
  <si>
    <t>INV1644</t>
  </si>
  <si>
    <t>INV1645</t>
  </si>
  <si>
    <t>INV1646</t>
  </si>
  <si>
    <t>INV1647</t>
  </si>
  <si>
    <t>INV1648</t>
  </si>
  <si>
    <t>INV1649</t>
  </si>
  <si>
    <t>INV1650</t>
  </si>
  <si>
    <t>INV1651</t>
  </si>
  <si>
    <t>INV1652</t>
  </si>
  <si>
    <t>INV1653</t>
  </si>
  <si>
    <t>INV1654</t>
  </si>
  <si>
    <t>INV1655</t>
  </si>
  <si>
    <t>INV1656</t>
  </si>
  <si>
    <t>INV1657</t>
  </si>
  <si>
    <t>INV1658</t>
  </si>
  <si>
    <t>INV1659</t>
  </si>
  <si>
    <t>INV1660</t>
  </si>
  <si>
    <t>INV1661</t>
  </si>
  <si>
    <t>INV1662</t>
  </si>
  <si>
    <t>INV1663</t>
  </si>
  <si>
    <t>INV1664</t>
  </si>
  <si>
    <t>INV1665</t>
  </si>
  <si>
    <t>INV1666</t>
  </si>
  <si>
    <t>INV1667</t>
  </si>
  <si>
    <t>INV1668</t>
  </si>
  <si>
    <t>INV1669</t>
  </si>
  <si>
    <t>INV1670</t>
  </si>
  <si>
    <t>INV1671</t>
  </si>
  <si>
    <t>INV1672</t>
  </si>
  <si>
    <t>INV1673</t>
  </si>
  <si>
    <t>INV1674</t>
  </si>
  <si>
    <t>INV1675</t>
  </si>
  <si>
    <t>INV1676</t>
  </si>
  <si>
    <t>INV1677</t>
  </si>
  <si>
    <t>INV1678</t>
  </si>
  <si>
    <t>INV1679</t>
  </si>
  <si>
    <t>INV1680</t>
  </si>
  <si>
    <t>INV1681</t>
  </si>
  <si>
    <t>INV1682</t>
  </si>
  <si>
    <t>INV1683</t>
  </si>
  <si>
    <t>INV1684</t>
  </si>
  <si>
    <t>INV1685</t>
  </si>
  <si>
    <t>INV1686</t>
  </si>
  <si>
    <t>INV1687</t>
  </si>
  <si>
    <t>INV1688</t>
  </si>
  <si>
    <t>INV1689</t>
  </si>
  <si>
    <t>INV1690</t>
  </si>
  <si>
    <t>INV1691</t>
  </si>
  <si>
    <t>INV1692</t>
  </si>
  <si>
    <t>INV1693</t>
  </si>
  <si>
    <t>INV1694</t>
  </si>
  <si>
    <t>INV1695</t>
  </si>
  <si>
    <t>INV1696</t>
  </si>
  <si>
    <t>INV1697</t>
  </si>
  <si>
    <t>INV1698</t>
  </si>
  <si>
    <t>INV1699</t>
  </si>
  <si>
    <t>INV1700</t>
  </si>
  <si>
    <t>INV1701</t>
  </si>
  <si>
    <t>INV1702</t>
  </si>
  <si>
    <t>INV1703</t>
  </si>
  <si>
    <t>INV1704</t>
  </si>
  <si>
    <t>INV1705</t>
  </si>
  <si>
    <t>INV1706</t>
  </si>
  <si>
    <t>INV1707</t>
  </si>
  <si>
    <t>INV1708</t>
  </si>
  <si>
    <t>INV1709</t>
  </si>
  <si>
    <t>INV1710</t>
  </si>
  <si>
    <t>INV1711</t>
  </si>
  <si>
    <t>INV1712</t>
  </si>
  <si>
    <t>INV1713</t>
  </si>
  <si>
    <t>INV1714</t>
  </si>
  <si>
    <t>INV1715</t>
  </si>
  <si>
    <t>INV1716</t>
  </si>
  <si>
    <t>INV1717</t>
  </si>
  <si>
    <t>INV1718</t>
  </si>
  <si>
    <t>INV1719</t>
  </si>
  <si>
    <t>INV1720</t>
  </si>
  <si>
    <t>INV1721</t>
  </si>
  <si>
    <t>INV1722</t>
  </si>
  <si>
    <t>INV1723</t>
  </si>
  <si>
    <t>INV1724</t>
  </si>
  <si>
    <t>INV1725</t>
  </si>
  <si>
    <t>INV1726</t>
  </si>
  <si>
    <t>INV1727</t>
  </si>
  <si>
    <t>INV1728</t>
  </si>
  <si>
    <t>INV1729</t>
  </si>
  <si>
    <t>INV1730</t>
  </si>
  <si>
    <t>INV1731</t>
  </si>
  <si>
    <t>INV1732</t>
  </si>
  <si>
    <t>INV1733</t>
  </si>
  <si>
    <t>INV1734</t>
  </si>
  <si>
    <t>INV1735</t>
  </si>
  <si>
    <t>INV1736</t>
  </si>
  <si>
    <t>INV1737</t>
  </si>
  <si>
    <t>INV1738</t>
  </si>
  <si>
    <t>INV1739</t>
  </si>
  <si>
    <t>INV1740</t>
  </si>
  <si>
    <t>INV1741</t>
  </si>
  <si>
    <t>INV1742</t>
  </si>
  <si>
    <t>INV1743</t>
  </si>
  <si>
    <t>INV1744</t>
  </si>
  <si>
    <t>INV1745</t>
  </si>
  <si>
    <t>INV1746</t>
  </si>
  <si>
    <t>INV1747</t>
  </si>
  <si>
    <t>INV1748</t>
  </si>
  <si>
    <t>INV1749</t>
  </si>
  <si>
    <t>INV1750</t>
  </si>
  <si>
    <t>INV1751</t>
  </si>
  <si>
    <t>INV1752</t>
  </si>
  <si>
    <t>INV1753</t>
  </si>
  <si>
    <t>INV1754</t>
  </si>
  <si>
    <t>INV1755</t>
  </si>
  <si>
    <t>INV1756</t>
  </si>
  <si>
    <t>INV1757</t>
  </si>
  <si>
    <t>INV1758</t>
  </si>
  <si>
    <t>INV1759</t>
  </si>
  <si>
    <t>INV1760</t>
  </si>
  <si>
    <t>INV1761</t>
  </si>
  <si>
    <t>INV1762</t>
  </si>
  <si>
    <t>INV1763</t>
  </si>
  <si>
    <t>INV1764</t>
  </si>
  <si>
    <t>INV1765</t>
  </si>
  <si>
    <t>INV1766</t>
  </si>
  <si>
    <t>INV1767</t>
  </si>
  <si>
    <t>INV1768</t>
  </si>
  <si>
    <t>INV1769</t>
  </si>
  <si>
    <t>INV1770</t>
  </si>
  <si>
    <t>INV1771</t>
  </si>
  <si>
    <t>INV1772</t>
  </si>
  <si>
    <t>INV1773</t>
  </si>
  <si>
    <t>INV1774</t>
  </si>
  <si>
    <t>INV1775</t>
  </si>
  <si>
    <t>INV1776</t>
  </si>
  <si>
    <t>INV1777</t>
  </si>
  <si>
    <t>INV1778</t>
  </si>
  <si>
    <t>INV1779</t>
  </si>
  <si>
    <t>INV1780</t>
  </si>
  <si>
    <t>INV1781</t>
  </si>
  <si>
    <t>INV1782</t>
  </si>
  <si>
    <t>INV1783</t>
  </si>
  <si>
    <t>INV1784</t>
  </si>
  <si>
    <t>INV1785</t>
  </si>
  <si>
    <t>INV1786</t>
  </si>
  <si>
    <t>INV1787</t>
  </si>
  <si>
    <t>INV1788</t>
  </si>
  <si>
    <t>INV1789</t>
  </si>
  <si>
    <t>INV1790</t>
  </si>
  <si>
    <t>INV1791</t>
  </si>
  <si>
    <t>INV1792</t>
  </si>
  <si>
    <t>INV1793</t>
  </si>
  <si>
    <t>INV1794</t>
  </si>
  <si>
    <t>INV1795</t>
  </si>
  <si>
    <t>INV1796</t>
  </si>
  <si>
    <t>INV1797</t>
  </si>
  <si>
    <t>INV1798</t>
  </si>
  <si>
    <t>INV1799</t>
  </si>
  <si>
    <t>INV1800</t>
  </si>
  <si>
    <t>INV1801</t>
  </si>
  <si>
    <t>INV1802</t>
  </si>
  <si>
    <t>INV1803</t>
  </si>
  <si>
    <t>INV1804</t>
  </si>
  <si>
    <t>INV1805</t>
  </si>
  <si>
    <t>INV1806</t>
  </si>
  <si>
    <t>INV1807</t>
  </si>
  <si>
    <t>INV1808</t>
  </si>
  <si>
    <t>INV1809</t>
  </si>
  <si>
    <t>INV1810</t>
  </si>
  <si>
    <t>INV1811</t>
  </si>
  <si>
    <t>INV1812</t>
  </si>
  <si>
    <t>INV1813</t>
  </si>
  <si>
    <t>INV1814</t>
  </si>
  <si>
    <t>INV1815</t>
  </si>
  <si>
    <t>INV1816</t>
  </si>
  <si>
    <t>INV1817</t>
  </si>
  <si>
    <t>INV1818</t>
  </si>
  <si>
    <t>INV1819</t>
  </si>
  <si>
    <t>INV1820</t>
  </si>
  <si>
    <t>INV1821</t>
  </si>
  <si>
    <t>INV1822</t>
  </si>
  <si>
    <t>INV1823</t>
  </si>
  <si>
    <t>INV1824</t>
  </si>
  <si>
    <t>INV1825</t>
  </si>
  <si>
    <t>INV1826</t>
  </si>
  <si>
    <t>INV1827</t>
  </si>
  <si>
    <t>INV1828</t>
  </si>
  <si>
    <t>INV1829</t>
  </si>
  <si>
    <t>INV1830</t>
  </si>
  <si>
    <t>INV1831</t>
  </si>
  <si>
    <t>INV1832</t>
  </si>
  <si>
    <t>INV1833</t>
  </si>
  <si>
    <t>INV1834</t>
  </si>
  <si>
    <t>INV1835</t>
  </si>
  <si>
    <t>INV1836</t>
  </si>
  <si>
    <t>INV1837</t>
  </si>
  <si>
    <t>INV1838</t>
  </si>
  <si>
    <t>INV1839</t>
  </si>
  <si>
    <t>INV1840</t>
  </si>
  <si>
    <t>INV1841</t>
  </si>
  <si>
    <t>INV1842</t>
  </si>
  <si>
    <t>INV1843</t>
  </si>
  <si>
    <t>INV1844</t>
  </si>
  <si>
    <t>INV1845</t>
  </si>
  <si>
    <t>INV1846</t>
  </si>
  <si>
    <t>INV1847</t>
  </si>
  <si>
    <t>INV1848</t>
  </si>
  <si>
    <t>INV1849</t>
  </si>
  <si>
    <t>INV1850</t>
  </si>
  <si>
    <t>INV1851</t>
  </si>
  <si>
    <t>INV1852</t>
  </si>
  <si>
    <t>INV1853</t>
  </si>
  <si>
    <t>INV1854</t>
  </si>
  <si>
    <t>INV1855</t>
  </si>
  <si>
    <t>INV1856</t>
  </si>
  <si>
    <t>INV1857</t>
  </si>
  <si>
    <t>INV1858</t>
  </si>
  <si>
    <t>INV1859</t>
  </si>
  <si>
    <t>INV1860</t>
  </si>
  <si>
    <t>INV1861</t>
  </si>
  <si>
    <t>INV1862</t>
  </si>
  <si>
    <t>INV1863</t>
  </si>
  <si>
    <t>INV1864</t>
  </si>
  <si>
    <t>INV1865</t>
  </si>
  <si>
    <t>INV1866</t>
  </si>
  <si>
    <t>INV1867</t>
  </si>
  <si>
    <t>INV1868</t>
  </si>
  <si>
    <t>INV1869</t>
  </si>
  <si>
    <t>INV1870</t>
  </si>
  <si>
    <t>INV1871</t>
  </si>
  <si>
    <t>INV1872</t>
  </si>
  <si>
    <t>INV1873</t>
  </si>
  <si>
    <t>INV1874</t>
  </si>
  <si>
    <t>INV1875</t>
  </si>
  <si>
    <t>INV1876</t>
  </si>
  <si>
    <t>INV1877</t>
  </si>
  <si>
    <t>INV1878</t>
  </si>
  <si>
    <t>INV1879</t>
  </si>
  <si>
    <t>INV1880</t>
  </si>
  <si>
    <t>INV1881</t>
  </si>
  <si>
    <t>INV1882</t>
  </si>
  <si>
    <t>INV1883</t>
  </si>
  <si>
    <t>INV1884</t>
  </si>
  <si>
    <t>INV1885</t>
  </si>
  <si>
    <t>INV1886</t>
  </si>
  <si>
    <t>INV1887</t>
  </si>
  <si>
    <t>INV1888</t>
  </si>
  <si>
    <t>INV1889</t>
  </si>
  <si>
    <t>INV1890</t>
  </si>
  <si>
    <t>INV1891</t>
  </si>
  <si>
    <t>INV1892</t>
  </si>
  <si>
    <t>INV1893</t>
  </si>
  <si>
    <t>INV1894</t>
  </si>
  <si>
    <t>INV1895</t>
  </si>
  <si>
    <t>INV1896</t>
  </si>
  <si>
    <t>INV1897</t>
  </si>
  <si>
    <t>INV1898</t>
  </si>
  <si>
    <t>INV1899</t>
  </si>
  <si>
    <t>INV1900</t>
  </si>
  <si>
    <t>INV1901</t>
  </si>
  <si>
    <t>INV1902</t>
  </si>
  <si>
    <t>INV1903</t>
  </si>
  <si>
    <t>INV1904</t>
  </si>
  <si>
    <t>INV1905</t>
  </si>
  <si>
    <t>INV1906</t>
  </si>
  <si>
    <t>INV1907</t>
  </si>
  <si>
    <t>INV1908</t>
  </si>
  <si>
    <t>INV1909</t>
  </si>
  <si>
    <t>INV1910</t>
  </si>
  <si>
    <t>INV1911</t>
  </si>
  <si>
    <t>INV1912</t>
  </si>
  <si>
    <t>INV1913</t>
  </si>
  <si>
    <t>INV1914</t>
  </si>
  <si>
    <t>INV1915</t>
  </si>
  <si>
    <t>INV1916</t>
  </si>
  <si>
    <t>INV1917</t>
  </si>
  <si>
    <t>INV1918</t>
  </si>
  <si>
    <t>INV1919</t>
  </si>
  <si>
    <t>INV1920</t>
  </si>
  <si>
    <t>INV1921</t>
  </si>
  <si>
    <t>INV1922</t>
  </si>
  <si>
    <t>INV1923</t>
  </si>
  <si>
    <t>INV1924</t>
  </si>
  <si>
    <t>INV1925</t>
  </si>
  <si>
    <t>INV1926</t>
  </si>
  <si>
    <t>INV1927</t>
  </si>
  <si>
    <t>INV1928</t>
  </si>
  <si>
    <t>INV1929</t>
  </si>
  <si>
    <t>INV1930</t>
  </si>
  <si>
    <t>INV1931</t>
  </si>
  <si>
    <t>INV1932</t>
  </si>
  <si>
    <t>INV1933</t>
  </si>
  <si>
    <t>INV1934</t>
  </si>
  <si>
    <t>INV1935</t>
  </si>
  <si>
    <t>INV1936</t>
  </si>
  <si>
    <t>INV1937</t>
  </si>
  <si>
    <t>INV1938</t>
  </si>
  <si>
    <t>INV1939</t>
  </si>
  <si>
    <t>INV1940</t>
  </si>
  <si>
    <t>INV1941</t>
  </si>
  <si>
    <t>INV1942</t>
  </si>
  <si>
    <t>INV1943</t>
  </si>
  <si>
    <t>INV1944</t>
  </si>
  <si>
    <t>INV1945</t>
  </si>
  <si>
    <t>INV1946</t>
  </si>
  <si>
    <t>INV1947</t>
  </si>
  <si>
    <t>INV1948</t>
  </si>
  <si>
    <t>INV1949</t>
  </si>
  <si>
    <t>INV1950</t>
  </si>
  <si>
    <t>INV1951</t>
  </si>
  <si>
    <t>INV1952</t>
  </si>
  <si>
    <t>INV1953</t>
  </si>
  <si>
    <t>INV1954</t>
  </si>
  <si>
    <t>INV1955</t>
  </si>
  <si>
    <t>INV1956</t>
  </si>
  <si>
    <t>INV1957</t>
  </si>
  <si>
    <t>INV1958</t>
  </si>
  <si>
    <t>INV1959</t>
  </si>
  <si>
    <t>INV1960</t>
  </si>
  <si>
    <t>INV1961</t>
  </si>
  <si>
    <t>INV1962</t>
  </si>
  <si>
    <t>INV1963</t>
  </si>
  <si>
    <t>INV1964</t>
  </si>
  <si>
    <t>INV1965</t>
  </si>
  <si>
    <t>INV1966</t>
  </si>
  <si>
    <t>INV1967</t>
  </si>
  <si>
    <t>INV1968</t>
  </si>
  <si>
    <t>INV1969</t>
  </si>
  <si>
    <t>INV1970</t>
  </si>
  <si>
    <t>INV1971</t>
  </si>
  <si>
    <t>INV1972</t>
  </si>
  <si>
    <t>INV1973</t>
  </si>
  <si>
    <t>INV1974</t>
  </si>
  <si>
    <t>INV1975</t>
  </si>
  <si>
    <t>INV1976</t>
  </si>
  <si>
    <t>INV1977</t>
  </si>
  <si>
    <t>INV1978</t>
  </si>
  <si>
    <t>INV1979</t>
  </si>
  <si>
    <t>INV1980</t>
  </si>
  <si>
    <t>INV1981</t>
  </si>
  <si>
    <t>INV1982</t>
  </si>
  <si>
    <t>INV1983</t>
  </si>
  <si>
    <t>INV1984</t>
  </si>
  <si>
    <t>INV1985</t>
  </si>
  <si>
    <t>INV1986</t>
  </si>
  <si>
    <t>INV1987</t>
  </si>
  <si>
    <t>INV1988</t>
  </si>
  <si>
    <t>INV1989</t>
  </si>
  <si>
    <t>INV1990</t>
  </si>
  <si>
    <t>INV1991</t>
  </si>
  <si>
    <t>INV1992</t>
  </si>
  <si>
    <t>INV1993</t>
  </si>
  <si>
    <t>INV1994</t>
  </si>
  <si>
    <t>INV1995</t>
  </si>
  <si>
    <t>INV1996</t>
  </si>
  <si>
    <t>INV1997</t>
  </si>
  <si>
    <t>INV1998</t>
  </si>
  <si>
    <t>INV1999</t>
  </si>
  <si>
    <t>INV2000</t>
  </si>
  <si>
    <t>Percentage</t>
  </si>
  <si>
    <t>Purchase</t>
  </si>
  <si>
    <t>Filter Options</t>
  </si>
  <si>
    <t>Filter Data</t>
  </si>
  <si>
    <t>Row Labels</t>
  </si>
  <si>
    <t>Grand Total</t>
  </si>
  <si>
    <t>Column Labels</t>
  </si>
  <si>
    <t>BuyPrice</t>
  </si>
  <si>
    <t>Sellprice</t>
  </si>
  <si>
    <t>NetProfit%</t>
  </si>
  <si>
    <t>Profit%</t>
  </si>
  <si>
    <t>UnitSold</t>
  </si>
  <si>
    <t>TotalSales</t>
  </si>
  <si>
    <t>TotalProfit</t>
  </si>
  <si>
    <t>Cost</t>
  </si>
  <si>
    <t>WhatIf UnitSold</t>
  </si>
  <si>
    <t>Base Inputs</t>
  </si>
  <si>
    <t>WhatIf SellingPrice</t>
  </si>
  <si>
    <t>$B$5</t>
  </si>
  <si>
    <t>$B$6</t>
  </si>
  <si>
    <t>$B$8</t>
  </si>
  <si>
    <t>$B$9</t>
  </si>
  <si>
    <t>$B$10</t>
  </si>
  <si>
    <t>Scenario Summary</t>
  </si>
  <si>
    <t>Changing Cells:</t>
  </si>
  <si>
    <t>Current Values:</t>
  </si>
  <si>
    <t>Notes:  Current Values column represents values of changing cells at</t>
  </si>
  <si>
    <t>time Scenario Summary Report was created.  Changing cells for each</t>
  </si>
  <si>
    <t>scenario are highlighted in gray.</t>
  </si>
  <si>
    <t>300UnitSellPrice</t>
  </si>
  <si>
    <t>Created by Payal on 10-12-2025
Modified by Payal on 10-12-2025</t>
  </si>
  <si>
    <t>500UnitSellPrice</t>
  </si>
  <si>
    <t>Sum of Sales_Amount</t>
  </si>
  <si>
    <t>Average of Sales</t>
  </si>
  <si>
    <t xml:space="preserve">Profit 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</si>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</sst>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14" fontId="0" fillId="0" borderId="0" xfId="0" applyNumberFormat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Fill="1" applyBorder="1" applyAlignment="1"/>
    <xf numFmtId="0" fontId="19" fillId="33" borderId="11" xfId="0" applyFont="1" applyFill="1" applyBorder="1" applyAlignment="1">
      <alignment horizontal="left"/>
    </xf>
    <xf numFmtId="0" fontId="19" fillId="33" borderId="10" xfId="0" applyFont="1" applyFill="1" applyBorder="1" applyAlignment="1">
      <alignment horizontal="left"/>
    </xf>
    <xf numFmtId="0" fontId="0" fillId="0" borderId="12" xfId="0" applyFill="1" applyBorder="1" applyAlignment="1"/>
    <xf numFmtId="0" fontId="20" fillId="34" borderId="0" xfId="0" applyFont="1" applyFill="1" applyBorder="1" applyAlignment="1">
      <alignment horizontal="left"/>
    </xf>
    <xf numFmtId="0" fontId="21" fillId="34" borderId="12" xfId="0" applyFont="1" applyFill="1" applyBorder="1" applyAlignment="1">
      <alignment horizontal="left"/>
    </xf>
    <xf numFmtId="0" fontId="22" fillId="33" borderId="10" xfId="0" applyFont="1" applyFill="1" applyBorder="1" applyAlignment="1">
      <alignment horizontal="right"/>
    </xf>
    <xf numFmtId="0" fontId="22" fillId="33" borderId="11" xfId="0" applyFont="1" applyFill="1" applyBorder="1" applyAlignment="1">
      <alignment horizontal="right"/>
    </xf>
    <xf numFmtId="0" fontId="21" fillId="34" borderId="13" xfId="0" applyFont="1" applyFill="1" applyBorder="1" applyAlignment="1">
      <alignment horizontal="left"/>
    </xf>
    <xf numFmtId="0" fontId="0" fillId="0" borderId="13" xfId="0" applyFill="1" applyBorder="1" applyAlignment="1"/>
    <xf numFmtId="0" fontId="23" fillId="0" borderId="0" xfId="0" applyFont="1" applyFill="1" applyBorder="1" applyAlignment="1">
      <alignment vertical="top" wrapText="1"/>
    </xf>
    <xf numFmtId="10" fontId="0" fillId="0" borderId="0" xfId="0" applyNumberFormat="1" applyFill="1" applyBorder="1" applyAlignment="1"/>
    <xf numFmtId="0" fontId="0" fillId="35" borderId="0" xfId="0" applyFill="1" applyBorder="1" applyAlignment="1"/>
    <xf numFmtId="10" fontId="0" fillId="35" borderId="0" xfId="0" applyNumberFormat="1" applyFill="1" applyBorder="1" applyAlignmen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numFmt numFmtId="14" formatCode="0.00%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yal" refreshedDate="45999.866348842595" createdVersion="8" refreshedVersion="8" minRefreshableVersion="3" recordCount="1000" xr:uid="{A630E7BE-39BB-4753-B556-41464C795E62}">
  <cacheSource type="worksheet">
    <worksheetSource name="Supermarket_Sales_Case_Study"/>
  </cacheSource>
  <cacheFields count="18">
    <cacheField name="Invoice_ID" numFmtId="0">
      <sharedItems/>
    </cacheField>
    <cacheField name="Branch" numFmtId="0">
      <sharedItems count="3">
        <s v="Branch C"/>
        <s v="Branch A"/>
        <s v="Branch B"/>
      </sharedItems>
    </cacheField>
    <cacheField name="City" numFmtId="0">
      <sharedItems count="3">
        <s v="Mandalay"/>
        <s v="Yangon"/>
        <s v="Naypyidaw"/>
      </sharedItems>
    </cacheField>
    <cacheField name="Customer_ID" numFmtId="0">
      <sharedItems containsSemiMixedTypes="0" containsString="0" containsNumber="1" containsInteger="1" minValue="1000" maxValue="2496"/>
    </cacheField>
    <cacheField name="Customer_Type" numFmtId="0">
      <sharedItems count="2">
        <s v="Normal"/>
        <s v="Member"/>
      </sharedItems>
    </cacheField>
    <cacheField name="Gender" numFmtId="0">
      <sharedItems count="2">
        <s v="Male"/>
        <s v="Female"/>
      </sharedItems>
    </cacheField>
    <cacheField name="Product_Line" numFmtId="0">
      <sharedItems count="6">
        <s v="Fashion"/>
        <s v="Health &amp; Beauty"/>
        <s v="Home &amp; Garden"/>
        <s v="Electronics"/>
        <s v="Food &amp; Beverages"/>
        <s v="Sports &amp; Outdoors"/>
      </sharedItems>
    </cacheField>
    <cacheField name="Date" numFmtId="14">
      <sharedItems containsSemiMixedTypes="0" containsNonDate="0" containsDate="1" containsString="0" minDate="2024-01-01T00:00:00" maxDate="2024-03-31T00:00:00" count="90">
        <d v="2024-01-21T00:00:00"/>
        <d v="2024-02-29T00:00:00"/>
        <d v="2024-03-21T00:00:00"/>
        <d v="2024-03-14T00:00:00"/>
        <d v="2024-03-03T00:00:00"/>
        <d v="2024-02-11T00:00:00"/>
        <d v="2024-02-20T00:00:00"/>
        <d v="2024-03-04T00:00:00"/>
        <d v="2024-03-16T00:00:00"/>
        <d v="2024-02-25T00:00:00"/>
        <d v="2024-03-20T00:00:00"/>
        <d v="2024-02-10T00:00:00"/>
        <d v="2024-02-01T00:00:00"/>
        <d v="2024-01-15T00:00:00"/>
        <d v="2024-03-02T00:00:00"/>
        <d v="2024-01-27T00:00:00"/>
        <d v="2024-01-28T00:00:00"/>
        <d v="2024-02-28T00:00:00"/>
        <d v="2024-02-27T00:00:00"/>
        <d v="2024-01-02T00:00:00"/>
        <d v="2024-02-05T00:00:00"/>
        <d v="2024-03-11T00:00:00"/>
        <d v="2024-01-13T00:00:00"/>
        <d v="2024-03-29T00:00:00"/>
        <d v="2024-03-27T00:00:00"/>
        <d v="2024-01-22T00:00:00"/>
        <d v="2024-03-30T00:00:00"/>
        <d v="2024-03-15T00:00:00"/>
        <d v="2024-01-25T00:00:00"/>
        <d v="2024-02-17T00:00:00"/>
        <d v="2024-02-12T00:00:00"/>
        <d v="2024-02-07T00:00:00"/>
        <d v="2024-02-14T00:00:00"/>
        <d v="2024-03-28T00:00:00"/>
        <d v="2024-02-09T00:00:00"/>
        <d v="2024-01-17T00:00:00"/>
        <d v="2024-02-26T00:00:00"/>
        <d v="2024-01-09T00:00:00"/>
        <d v="2024-03-08T00:00:00"/>
        <d v="2024-02-19T00:00:00"/>
        <d v="2024-03-25T00:00:00"/>
        <d v="2024-01-18T00:00:00"/>
        <d v="2024-02-24T00:00:00"/>
        <d v="2024-01-29T00:00:00"/>
        <d v="2024-01-24T00:00:00"/>
        <d v="2024-03-24T00:00:00"/>
        <d v="2024-03-22T00:00:00"/>
        <d v="2024-03-13T00:00:00"/>
        <d v="2024-01-14T00:00:00"/>
        <d v="2024-02-18T00:00:00"/>
        <d v="2024-01-04T00:00:00"/>
        <d v="2024-01-20T00:00:00"/>
        <d v="2024-02-16T00:00:00"/>
        <d v="2024-03-17T00:00:00"/>
        <d v="2024-03-19T00:00:00"/>
        <d v="2024-01-19T00:00:00"/>
        <d v="2024-02-21T00:00:00"/>
        <d v="2024-01-26T00:00:00"/>
        <d v="2024-02-15T00:00:00"/>
        <d v="2024-02-22T00:00:00"/>
        <d v="2024-01-03T00:00:00"/>
        <d v="2024-03-06T00:00:00"/>
        <d v="2024-02-02T00:00:00"/>
        <d v="2024-03-12T00:00:00"/>
        <d v="2024-01-07T00:00:00"/>
        <d v="2024-01-16T00:00:00"/>
        <d v="2024-03-01T00:00:00"/>
        <d v="2024-02-23T00:00:00"/>
        <d v="2024-01-01T00:00:00"/>
        <d v="2024-01-10T00:00:00"/>
        <d v="2024-01-06T00:00:00"/>
        <d v="2024-03-18T00:00:00"/>
        <d v="2024-03-07T00:00:00"/>
        <d v="2024-01-30T00:00:00"/>
        <d v="2024-01-12T00:00:00"/>
        <d v="2024-02-13T00:00:00"/>
        <d v="2024-01-23T00:00:00"/>
        <d v="2024-03-23T00:00:00"/>
        <d v="2024-02-03T00:00:00"/>
        <d v="2024-03-09T00:00:00"/>
        <d v="2024-01-11T00:00:00"/>
        <d v="2024-02-06T00:00:00"/>
        <d v="2024-03-10T00:00:00"/>
        <d v="2024-02-04T00:00:00"/>
        <d v="2024-03-26T00:00:00"/>
        <d v="2024-01-08T00:00:00"/>
        <d v="2024-02-08T00:00:00"/>
        <d v="2024-01-31T00:00:00"/>
        <d v="2024-03-05T00:00:00"/>
        <d v="2024-01-05T00:00:00"/>
      </sharedItems>
      <fieldGroup par="17"/>
    </cacheField>
    <cacheField name="Unit_Price" numFmtId="0">
      <sharedItems containsSemiMixedTypes="0" containsString="0" containsNumber="1" minValue="10.585370146987801" maxValue="299.310618452901"/>
    </cacheField>
    <cacheField name="Quantity" numFmtId="0">
      <sharedItems containsSemiMixedTypes="0" containsString="0" containsNumber="1" containsInteger="1" minValue="1" maxValue="9"/>
    </cacheField>
    <cacheField name="Sales_Amount" numFmtId="0">
      <sharedItems containsSemiMixedTypes="0" containsString="0" containsNumber="1" minValue="18.210269576773602" maxValue="2670.0415012681101" count="1000">
        <n v="155.31548527603701"/>
        <n v="1718.3681844749899"/>
        <n v="659.77704019666396"/>
        <n v="834.06512234300101"/>
        <n v="1076.6625890964699"/>
        <n v="497.80991481064399"/>
        <n v="599.42665905254296"/>
        <n v="266.17670425701698"/>
        <n v="1444.19434152547"/>
        <n v="1520.2538501619899"/>
        <n v="2003.5082468763201"/>
        <n v="303.00376350275701"/>
        <n v="1325.0444792559599"/>
        <n v="733.64728657027797"/>
        <n v="825.496798450901"/>
        <n v="765.03385585883802"/>
        <n v="305.39820878304602"/>
        <n v="1233.7956381992899"/>
        <n v="777.19741914561303"/>
        <n v="213.909899059309"/>
        <n v="402.92126659194997"/>
        <n v="1124.9446343125801"/>
        <n v="2310.27548017864"/>
        <n v="1768.5159146531701"/>
        <n v="768.47232382075299"/>
        <n v="163.555842421438"/>
        <n v="343.298186437742"/>
        <n v="128.410375552907"/>
        <n v="78.703704603518801"/>
        <n v="739.78687311553404"/>
        <n v="262.05610937946898"/>
        <n v="388.14025059733098"/>
        <n v="1968.0386966326901"/>
        <n v="269.71332151416999"/>
        <n v="1587.69302475361"/>
        <n v="742.38552927441594"/>
        <n v="490.00890511082099"/>
        <n v="452.79152074068497"/>
        <n v="137.346661552858"/>
        <n v="426.816608571372"/>
        <n v="1858.38186776422"/>
        <n v="216.38551864675301"/>
        <n v="208.69922537588499"/>
        <n v="361.85370602958"/>
        <n v="1768.7661944077699"/>
        <n v="1425.6595719484501"/>
        <n v="890.84462593084004"/>
        <n v="393.25839653141401"/>
        <n v="945.95523659339005"/>
        <n v="2139.5515980567902"/>
        <n v="737.27912692422001"/>
        <n v="594.40983355905496"/>
        <n v="208.64726543623999"/>
        <n v="1414.84504995068"/>
        <n v="1101.08809334954"/>
        <n v="93.305739291237003"/>
        <n v="702.66896338847596"/>
        <n v="1760.1613655097301"/>
        <n v="159.620780393367"/>
        <n v="337.71512274232498"/>
        <n v="2645.0790933772801"/>
        <n v="1197.6557109348901"/>
        <n v="260.1857514477"/>
        <n v="536.49941018055301"/>
        <n v="207.863299336105"/>
        <n v="1446.4281261546"/>
        <n v="157.36121597290401"/>
        <n v="556.769922216532"/>
        <n v="799.34541173582897"/>
        <n v="449.29359388164801"/>
        <n v="771.61254654418997"/>
        <n v="338.77163574783799"/>
        <n v="420.07173256391002"/>
        <n v="413.94523948757501"/>
        <n v="182.65430176499501"/>
        <n v="419.38452373023802"/>
        <n v="1392.00720138522"/>
        <n v="238.53512324180099"/>
        <n v="134.80867741033001"/>
        <n v="1482.4688796405501"/>
        <n v="714.13220691897504"/>
        <n v="146.830493750166"/>
        <n v="1193.3594027372101"/>
        <n v="392.14650711986502"/>
        <n v="214.099770187247"/>
        <n v="118.2453461942"/>
        <n v="173.46139159834101"/>
        <n v="703.49538866142302"/>
        <n v="1434.2737586670701"/>
        <n v="358.46304104839402"/>
        <n v="1299.75442937719"/>
        <n v="329.448265532368"/>
        <n v="31.7561104409635"/>
        <n v="483.86948672251498"/>
        <n v="87.898304026017797"/>
        <n v="420.703728159523"/>
        <n v="562.66459116280396"/>
        <n v="71.794652518594305"/>
        <n v="1693.9593469828999"/>
        <n v="23.875634949854899"/>
        <n v="233.96729439794899"/>
        <n v="382.61876632765598"/>
        <n v="709.98535382296598"/>
        <n v="98.5671755183931"/>
        <n v="1151.8266349046401"/>
        <n v="1096.45126857934"/>
        <n v="2252.1397634386599"/>
        <n v="167.177121718032"/>
        <n v="2259.99150620093"/>
        <n v="665.46243996532303"/>
        <n v="1322.76308403353"/>
        <n v="945.01108023065206"/>
        <n v="1346.5703199064801"/>
        <n v="433.522083312213"/>
        <n v="1825.6356873805801"/>
        <n v="617.72685594596805"/>
        <n v="450.83848544566303"/>
        <n v="943.58652123624404"/>
        <n v="536.23307476984598"/>
        <n v="310.02643113562402"/>
        <n v="488.16980489888903"/>
        <n v="2078.2615318910098"/>
        <n v="2223.0285326674002"/>
        <n v="1428.2158890232299"/>
        <n v="1234.18479788028"/>
        <n v="597.83212618442803"/>
        <n v="305.839463408428"/>
        <n v="1180.15821072837"/>
        <n v="408.991804721748"/>
        <n v="213.251614399815"/>
        <n v="207.501459192563"/>
        <n v="798.63314711416899"/>
        <n v="1978.6173942367"/>
        <n v="147.03232366873499"/>
        <n v="548.68235012868297"/>
        <n v="167.00558392898699"/>
        <n v="226.463198843268"/>
        <n v="72.929134537794994"/>
        <n v="129.48839550591401"/>
        <n v="1919.67161891556"/>
        <n v="903.27712733106296"/>
        <n v="665.91871911632597"/>
        <n v="362.24935300470099"/>
        <n v="366.31554670829701"/>
        <n v="1459.9434580524701"/>
        <n v="235.87622725862701"/>
        <n v="639.48067694139297"/>
        <n v="2133.11719497896"/>
        <n v="726.91457697742999"/>
        <n v="612.46115089911302"/>
        <n v="368.63352441291897"/>
        <n v="1428.9789358414"/>
        <n v="501.03986200294599"/>
        <n v="1271.5776279828301"/>
        <n v="751.26221385571603"/>
        <n v="296.42128177896302"/>
        <n v="378.13505947151799"/>
        <n v="934.06133585043995"/>
        <n v="267.94747720691998"/>
        <n v="418.818284846403"/>
        <n v="725.75532464942899"/>
        <n v="747.22178172895701"/>
        <n v="1304.5303537268201"/>
        <n v="1101.6983345046699"/>
        <n v="1296.74456131735"/>
        <n v="161.21836235178901"/>
        <n v="715.01481015444097"/>
        <n v="905.01911699326195"/>
        <n v="1580.2778811170699"/>
        <n v="195.00673617857399"/>
        <n v="1762.29556231223"/>
        <n v="1083.8464928296701"/>
        <n v="165.15739633369"/>
        <n v="466.85171986887099"/>
        <n v="1424.13800411947"/>
        <n v="263.24597476684301"/>
        <n v="775.11617149379401"/>
        <n v="950.71334835102004"/>
        <n v="1285.65616216126"/>
        <n v="546.54904766698803"/>
        <n v="181.16747115375799"/>
        <n v="641.06764407050002"/>
        <n v="438.48722157816002"/>
        <n v="18.210269576773602"/>
        <n v="212.72553407916499"/>
        <n v="549.00626160298896"/>
        <n v="1517.30881595337"/>
        <n v="106.662538051627"/>
        <n v="514.18162302579299"/>
        <n v="833.90337727038695"/>
        <n v="212.22689399622899"/>
        <n v="1437.8676532505699"/>
        <n v="1428.5489453600701"/>
        <n v="2550.0067126274998"/>
        <n v="1359.39135278866"/>
        <n v="437.92801821375502"/>
        <n v="1248.40773078385"/>
        <n v="1254.58518675138"/>
        <n v="1949.5593156733701"/>
        <n v="86.167741633265706"/>
        <n v="278.12270605927301"/>
        <n v="554.23555103992305"/>
        <n v="1193.36178136746"/>
        <n v="587.41096529721096"/>
        <n v="1352.00364914233"/>
        <n v="257.79507102257702"/>
        <n v="1578.3862964314901"/>
        <n v="750.46164123551796"/>
        <n v="290.62973484392899"/>
        <n v="734.11222650817797"/>
        <n v="238.043742587829"/>
        <n v="966.714066743226"/>
        <n v="118.320851300909"/>
        <n v="88.734638712741599"/>
        <n v="154.43448236782299"/>
        <n v="409.58639680578398"/>
        <n v="1632.1916915725999"/>
        <n v="260.12660029397199"/>
        <n v="751.11801034007397"/>
        <n v="111.178121762128"/>
        <n v="483.79147452988099"/>
        <n v="721.20250127418694"/>
        <n v="1332.3459931832999"/>
        <n v="439.94644728426999"/>
        <n v="575.73843827912799"/>
        <n v="1171.8869291718199"/>
        <n v="96.899598012938398"/>
        <n v="383.29375107604102"/>
        <n v="429.49463334732798"/>
        <n v="775.30287945196505"/>
        <n v="658.07842793864097"/>
        <n v="729.55829396471904"/>
        <n v="1367.2725318134401"/>
        <n v="807.51895031031199"/>
        <n v="899.12633271746904"/>
        <n v="1301.3099785310901"/>
        <n v="985.48699747307398"/>
        <n v="716.80600894981603"/>
        <n v="768.54510228605295"/>
        <n v="667.98874778243101"/>
        <n v="880.93349251433597"/>
        <n v="390.35480524749198"/>
        <n v="1556.8001455697099"/>
        <n v="2391.13907888838"/>
        <n v="180.934653661807"/>
        <n v="1552.36307505072"/>
        <n v="536.46511259268402"/>
        <n v="310.382529527141"/>
        <n v="214.34806748289401"/>
        <n v="701.33506430733996"/>
        <n v="350.46006322245199"/>
        <n v="161.363099864118"/>
        <n v="262.812695009685"/>
        <n v="644.07246948796296"/>
        <n v="909.29292524934397"/>
        <n v="1055.1272347000399"/>
        <n v="296.01153486590601"/>
        <n v="130.273389820566"/>
        <n v="685.86261423812402"/>
        <n v="2101.8067375935502"/>
        <n v="1655.2301038482501"/>
        <n v="517.763098884295"/>
        <n v="1371.25465749761"/>
        <n v="552.50775963262799"/>
        <n v="734.93089531566795"/>
        <n v="1179.77106785155"/>
        <n v="707.47488925193204"/>
        <n v="147.789250983562"/>
        <n v="1704.49868843545"/>
        <n v="636.06572595912905"/>
        <n v="768.77043783624197"/>
        <n v="1403.03448989204"/>
        <n v="686.68856961370102"/>
        <n v="2354.6105230272601"/>
        <n v="1427.06321640549"/>
        <n v="388.28585969472601"/>
        <n v="1390.7536920791399"/>
        <n v="1241.28204163544"/>
        <n v="2107.4953426075799"/>
        <n v="1143.67275332179"/>
        <n v="1411.0913866127701"/>
        <n v="749.15045857130997"/>
        <n v="258.61958168464298"/>
        <n v="1436.6902718896899"/>
        <n v="770.12715887710601"/>
        <n v="2401.4675846710202"/>
        <n v="520.457935392276"/>
        <n v="1520.7217880647099"/>
        <n v="531.30680386563904"/>
        <n v="1998.7361164255999"/>
        <n v="1909.88884373056"/>
        <n v="1369.5906316849901"/>
        <n v="434.59806602155999"/>
        <n v="263.50949782553698"/>
        <n v="275.98631115786498"/>
        <n v="140.826181920295"/>
        <n v="92.797546234368298"/>
        <n v="492.47233519424401"/>
        <n v="632.25168267483195"/>
        <n v="1983.78911780968"/>
        <n v="1145.9241932144801"/>
        <n v="451.37965087361198"/>
        <n v="83.259768871348399"/>
        <n v="644.12189284226099"/>
        <n v="1187.12716533359"/>
        <n v="57.989663526846897"/>
        <n v="548.73461942406402"/>
        <n v="492.15140935746098"/>
        <n v="199.581969454025"/>
        <n v="1042.8979825265101"/>
        <n v="376.19853021699203"/>
        <n v="225.49364649309999"/>
        <n v="511.79817258274198"/>
        <n v="168.21970297405201"/>
        <n v="2652.2561639801702"/>
        <n v="1265.7490715382501"/>
        <n v="1112.1374667565699"/>
        <n v="593.74629729549497"/>
        <n v="462.894278579184"/>
        <n v="1133.3532900252101"/>
        <n v="22.4228909845428"/>
        <n v="139.45219817632599"/>
        <n v="151.505092592945"/>
        <n v="442.95615088991201"/>
        <n v="745.75436562081995"/>
        <n v="214.92393640560201"/>
        <n v="474.39726396289899"/>
        <n v="702.89856521460104"/>
        <n v="92.570363594637698"/>
        <n v="111.484032463595"/>
        <n v="1956.45545659198"/>
        <n v="239.95139156466001"/>
        <n v="2259.8697132393399"/>
        <n v="762.82318913244205"/>
        <n v="945.91948279982205"/>
        <n v="1546.21373851915"/>
        <n v="112.973293977561"/>
        <n v="160.26715365176"/>
        <n v="48.221444923793698"/>
        <n v="713.97750831512701"/>
        <n v="1202.04525160411"/>
        <n v="337.85876686525899"/>
        <n v="483.33367574229698"/>
        <n v="446.23546966524702"/>
        <n v="1032.3364514940299"/>
        <n v="229.965545465753"/>
        <n v="99.695365521681694"/>
        <n v="490.70186853082203"/>
        <n v="1951.5456156974999"/>
        <n v="488.47940025524701"/>
        <n v="1212.72206767839"/>
        <n v="221.23834264604301"/>
        <n v="493.27597670237901"/>
        <n v="112.03374674001699"/>
        <n v="424.43497851593202"/>
        <n v="1298.9858677404"/>
        <n v="135.617302281398"/>
        <n v="1641.83444637752"/>
        <n v="1543.4978215927099"/>
        <n v="1002.46476769716"/>
        <n v="1839.18011757005"/>
        <n v="792.01847061140199"/>
        <n v="782.04991479613602"/>
        <n v="650.11657830864203"/>
        <n v="610.00738958469401"/>
        <n v="361.33286239221297"/>
        <n v="318.79052966964099"/>
        <n v="1655.40313207299"/>
        <n v="259.83897509579901"/>
        <n v="1309.5274777439599"/>
        <n v="1320.3592670133901"/>
        <n v="1583.8793595245299"/>
        <n v="1546.19063184332"/>
        <n v="1077.32247688853"/>
        <n v="243.79334304525099"/>
        <n v="971.03415249524096"/>
        <n v="140.725122327045"/>
        <n v="1439.8218617182199"/>
        <n v="270.03038032150698"/>
        <n v="677.23746808719795"/>
        <n v="1152.5003405365701"/>
        <n v="973.30448971427404"/>
        <n v="1361.9251265174901"/>
        <n v="150.52428817910501"/>
        <n v="489.99024461563903"/>
        <n v="1746.61294585154"/>
        <n v="288.60653402575599"/>
        <n v="544.51613069001701"/>
        <n v="999.32815926663295"/>
        <n v="248.89254478174499"/>
        <n v="113.24273979577301"/>
        <n v="470.53848037619099"/>
        <n v="993.111602235654"/>
        <n v="143.84164900069501"/>
        <n v="590.31728095471101"/>
        <n v="1905.1633504409499"/>
        <n v="1406.1728629184499"/>
        <n v="453.746373159001"/>
        <n v="322.05809959979598"/>
        <n v="656.97261364235806"/>
        <n v="1011.8999668727801"/>
        <n v="779.05135339420599"/>
        <n v="652.09940988435801"/>
        <n v="1873.5821431435199"/>
        <n v="1743.3835905149101"/>
        <n v="578.134694277584"/>
        <n v="1811.9844003297401"/>
        <n v="237.29399281500201"/>
        <n v="1209.6506721047199"/>
        <n v="409.85336456690402"/>
        <n v="795.59150801354099"/>
        <n v="1564.54463153295"/>
        <n v="682.80841815790905"/>
        <n v="1016.81926918665"/>
        <n v="261.48467537081802"/>
        <n v="1588.4496148339399"/>
        <n v="737.06084930696397"/>
        <n v="644.94893452907002"/>
        <n v="871.51932114793794"/>
        <n v="1498.3745799815099"/>
        <n v="1631.38308650517"/>
        <n v="842.20684260815301"/>
        <n v="727.17275293021305"/>
        <n v="1644.2805134550699"/>
        <n v="93.267108757031096"/>
        <n v="1015.62627904294"/>
        <n v="702.54826640193801"/>
        <n v="392.67511603967898"/>
        <n v="306.75086880601998"/>
        <n v="1443.6811527797299"/>
        <n v="805.78845272638796"/>
        <n v="2050.0952927639501"/>
        <n v="894.20395746340398"/>
        <n v="41.917738855755601"/>
        <n v="299.38006324941301"/>
        <n v="502.68473391552499"/>
        <n v="131.08900291871601"/>
        <n v="104.81405728785199"/>
        <n v="1930.7047023340899"/>
        <n v="1288.7157936871499"/>
        <n v="199.19447423952801"/>
        <n v="436.202347538487"/>
        <n v="950.24614913743403"/>
        <n v="92.403093182125502"/>
        <n v="282.139985718861"/>
        <n v="651.48192311397304"/>
        <n v="126.677137018826"/>
        <n v="986.17716958973404"/>
        <n v="240.841726499614"/>
        <n v="195.11344953962899"/>
        <n v="2003.1394472300001"/>
        <n v="412.15273060120802"/>
        <n v="451.31663758971899"/>
        <n v="177.86364873032099"/>
        <n v="1576.35450368958"/>
        <n v="1047.3565140119999"/>
        <n v="1079.5231883604299"/>
        <n v="824.11646562865099"/>
        <n v="1136.23708216964"/>
        <n v="967.955347574293"/>
        <n v="1314.8344433203099"/>
        <n v="276.97443015164401"/>
        <n v="306.60564896997101"/>
        <n v="2337.3282317036401"/>
        <n v="431.21520409090101"/>
        <n v="2260.64175736998"/>
        <n v="1405.44982298641"/>
        <n v="2282.14560817966"/>
        <n v="1006.08500616812"/>
        <n v="115.10508355859"/>
        <n v="1041.82404870407"/>
        <n v="377.26517176491001"/>
        <n v="556.52736169894797"/>
        <n v="579.529858122115"/>
        <n v="206.186536571761"/>
        <n v="1181.00669915241"/>
        <n v="2340.25455761583"/>
        <n v="211.69532886769599"/>
        <n v="854.29717918112499"/>
        <n v="2041.7432528719601"/>
        <n v="979.89996057145595"/>
        <n v="780.05978965818394"/>
        <n v="138.41660431758001"/>
        <n v="44.558521687982598"/>
        <n v="356.24117111638998"/>
        <n v="989.40947264324996"/>
        <n v="570.27174918683204"/>
        <n v="55.150846474647601"/>
        <n v="1878.88184639407"/>
        <n v="120.68143090371601"/>
        <n v="179.14773373817201"/>
        <n v="424.613729932865"/>
        <n v="993.39105888982203"/>
        <n v="1044.26578725378"/>
        <n v="1643.77068066989"/>
        <n v="1562.55460868261"/>
        <n v="2578.72660539243"/>
        <n v="265.66853556461899"/>
        <n v="538.514822111787"/>
        <n v="1762.59766036521"/>
        <n v="1178.0850419631199"/>
        <n v="229.472396775166"/>
        <n v="1798.1101579620599"/>
        <n v="225.14068780518201"/>
        <n v="546.85201909564898"/>
        <n v="427.53131939777199"/>
        <n v="205.05104466803601"/>
        <n v="76.930449638694199"/>
        <n v="826.63484206763496"/>
        <n v="754.92481099015902"/>
        <n v="81.422945455054105"/>
        <n v="1051.4856681645999"/>
        <n v="549.195485366669"/>
        <n v="310.91390595241"/>
        <n v="879.28266823963202"/>
        <n v="1665.61276358542"/>
        <n v="713.26753082216806"/>
        <n v="1694.14906711604"/>
        <n v="1599.17492968286"/>
        <n v="277.883773559286"/>
        <n v="204.48109072538099"/>
        <n v="581.64666117644799"/>
        <n v="1473.15997305467"/>
        <n v="1294.17029675816"/>
        <n v="1137.04532257554"/>
        <n v="1414.1212845497701"/>
        <n v="1880.1147561129401"/>
        <n v="235.508540542085"/>
        <n v="996.99348512972199"/>
        <n v="1226.3774165186701"/>
        <n v="124.828860736805"/>
        <n v="1224.59697994166"/>
        <n v="1880.5429996108201"/>
        <n v="296.26477326482501"/>
        <n v="1190.3105869349999"/>
        <n v="1672.50112648457"/>
        <n v="261.406474130302"/>
        <n v="411.27980065057"/>
        <n v="147.735779926487"/>
        <n v="130.072655077391"/>
        <n v="2549.6208149459399"/>
        <n v="221.88704654579499"/>
        <n v="960.06713195867303"/>
        <n v="327.331131431345"/>
        <n v="2365.9048909065"/>
        <n v="174.43898656928801"/>
        <n v="345.48112318067098"/>
        <n v="37.574347944412899"/>
        <n v="385.81001684468299"/>
        <n v="140.21832785924701"/>
        <n v="771.47389223638697"/>
        <n v="442.289815281036"/>
        <n v="143.559326443538"/>
        <n v="1248.5966009786"/>
        <n v="1044.2047796203501"/>
        <n v="562.86019554206405"/>
        <n v="781.75134766958899"/>
        <n v="292.85825037246201"/>
        <n v="415.33429713784102"/>
        <n v="1081.9561541857499"/>
        <n v="1176.36483160283"/>
        <n v="193.07512256880401"/>
        <n v="1480.75719717623"/>
        <n v="88.696129426312993"/>
        <n v="347.30143952849602"/>
        <n v="501.00225579293999"/>
        <n v="1934.42314289879"/>
        <n v="377.98690740918198"/>
        <n v="497.11005425421502"/>
        <n v="892.58324228537299"/>
        <n v="2127.2512301756201"/>
        <n v="588.30565237028202"/>
        <n v="602.34030161617204"/>
        <n v="21.821725507910799"/>
        <n v="484.24469181728"/>
        <n v="791.60289385599594"/>
        <n v="966.74537802454495"/>
        <n v="1477.14002388992"/>
        <n v="374.26592830919901"/>
        <n v="217.40407188626901"/>
        <n v="734.05217953897102"/>
        <n v="346.51438779261201"/>
        <n v="130.621072802718"/>
        <n v="110.64808686482399"/>
        <n v="674.795523687946"/>
        <n v="2380.9130838718502"/>
        <n v="607.855490372453"/>
        <n v="67.781326778411"/>
        <n v="92.155272246199303"/>
        <n v="419.79041623087198"/>
        <n v="173.141008369183"/>
        <n v="463.79299071372401"/>
        <n v="2544.4941310549498"/>
        <n v="29.177439758156002"/>
        <n v="484.80132315882599"/>
        <n v="1025.86073313304"/>
        <n v="600.767869118862"/>
        <n v="1550.50081015454"/>
        <n v="1255.4481220135101"/>
        <n v="602.53184873179498"/>
        <n v="395.40060187923899"/>
        <n v="241.918194949428"/>
        <n v="137.21234087320201"/>
        <n v="212.573881310649"/>
        <n v="261.36431323155102"/>
        <n v="1272.1337042176999"/>
        <n v="1903.6949691826901"/>
        <n v="536.132561354622"/>
        <n v="494.35665727991699"/>
        <n v="1421.4872729910001"/>
        <n v="1341.05726963286"/>
        <n v="793.70073050227302"/>
        <n v="1573.11458350611"/>
        <n v="1141.2449247378599"/>
        <n v="2039.5777491622"/>
        <n v="2523.36239897737"/>
        <n v="900.25903856407103"/>
        <n v="182.06121282212101"/>
        <n v="385.43632600035897"/>
        <n v="1031.4560021080999"/>
        <n v="521.43896682007801"/>
        <n v="1030.9425152368999"/>
        <n v="1218.5748155726701"/>
        <n v="1151.1132057391501"/>
        <n v="2447.3279327578598"/>
        <n v="740.46713974672195"/>
        <n v="177.21806206761801"/>
        <n v="516.12637182322601"/>
        <n v="1058.75243681097"/>
        <n v="951.34600009378698"/>
        <n v="416.55774382287001"/>
        <n v="1975.9567688837799"/>
        <n v="1346.27854731809"/>
        <n v="431.47717778288097"/>
        <n v="443.08898650236398"/>
        <n v="352.46945278076299"/>
        <n v="431.673190319112"/>
        <n v="2670.0415012681101"/>
        <n v="138.55064236797199"/>
        <n v="249.80204664051899"/>
        <n v="1447.3932995001001"/>
        <n v="806.83185504391702"/>
        <n v="542.37177520264004"/>
        <n v="1139.93044943323"/>
        <n v="763.23428340238297"/>
        <n v="1472.6529884250399"/>
        <n v="127.595971223912"/>
        <n v="953.55026767117204"/>
        <n v="695.66548062001698"/>
        <n v="347.829329458291"/>
        <n v="1195.3050729109"/>
        <n v="135.71308265917199"/>
        <n v="571.47143576940095"/>
        <n v="630.03652376022899"/>
        <n v="1995.46097473293"/>
        <n v="1987.6714363073199"/>
        <n v="1495.06441594284"/>
        <n v="1946.7806115257499"/>
        <n v="1189.4283359291401"/>
        <n v="1267.5942020876701"/>
        <n v="35.598634002212201"/>
        <n v="1170.14861481513"/>
        <n v="1496.05133342459"/>
        <n v="1695.8120350670999"/>
        <n v="461.046100775833"/>
        <n v="634.98971113872801"/>
        <n v="1499.2890407823099"/>
        <n v="281.19990515068298"/>
        <n v="237.96690919073001"/>
        <n v="1938.19798909063"/>
        <n v="1035.64627056224"/>
        <n v="1439.0312931823801"/>
        <n v="1387.43440386459"/>
        <n v="69.5436753791424"/>
        <n v="592.54238623533502"/>
        <n v="151.509886956027"/>
        <n v="1225.8566157851601"/>
        <n v="583.26301568322299"/>
        <n v="1171.65147570408"/>
        <n v="137.35870922886801"/>
        <n v="1149.80089188177"/>
        <n v="272.26953416697"/>
        <n v="2058.9182291669699"/>
        <n v="2513.0809497107598"/>
        <n v="1195.8220206676999"/>
        <n v="2167.5793203352"/>
        <n v="1600.0801629688401"/>
        <n v="217.48566021476901"/>
        <n v="752.09432974992001"/>
        <n v="145.047937111061"/>
        <n v="702.84151157055703"/>
        <n v="1652.04060523566"/>
        <n v="259.40135602666197"/>
        <n v="1942.4059938803"/>
        <n v="635.19344754803001"/>
        <n v="187.12351189866101"/>
        <n v="611.585718045862"/>
        <n v="156.61355708792101"/>
        <n v="1398.8385645384201"/>
        <n v="596.81864449613602"/>
        <n v="569.01296250287601"/>
        <n v="342.74459937876401"/>
        <n v="1033.53234720458"/>
        <n v="756.50737254586704"/>
        <n v="278.93300237002597"/>
        <n v="812.74819340046702"/>
        <n v="204.46875207953201"/>
        <n v="909.33416693773802"/>
        <n v="1215.2033773031801"/>
        <n v="212.334675408338"/>
        <n v="736.09862315555904"/>
        <n v="262.77772560826298"/>
        <n v="663.808343716791"/>
        <n v="638.03769344833904"/>
        <n v="856.75511511515901"/>
        <n v="154.24330938165099"/>
        <n v="194.757463239088"/>
        <n v="1465.71841522004"/>
        <n v="598.44364367645198"/>
        <n v="131.539739699503"/>
        <n v="287.21945120286199"/>
        <n v="1138.1317128841599"/>
        <n v="551.67598456013104"/>
        <n v="784.17894856368798"/>
        <n v="669.71905501774302"/>
        <n v="2197.9999310772801"/>
        <n v="759.73359186665198"/>
        <n v="1137.0364429344199"/>
        <n v="619.95903293016102"/>
        <n v="669.90485980544599"/>
        <n v="663.58159887402996"/>
        <n v="954.35892462671495"/>
        <n v="2163.5949345976501"/>
        <n v="90.657455091117598"/>
        <n v="410.03215628221102"/>
        <n v="806.53862824508201"/>
        <n v="1538.18953494894"/>
        <n v="143.22806923336199"/>
        <n v="892.775583834033"/>
        <n v="500.67252206706598"/>
        <n v="1773.63159450274"/>
        <n v="2258.4716992394601"/>
        <n v="989.21183984816105"/>
        <n v="67.5624116355512"/>
        <n v="346.89951122334003"/>
        <n v="557.17840865601295"/>
        <n v="1511.56926034601"/>
        <n v="802.39948624918304"/>
        <n v="545.06664092623203"/>
        <n v="140.145853158438"/>
        <n v="549.67495464444403"/>
        <n v="259.69636474642101"/>
        <n v="57.288501284214497"/>
        <n v="246.851631087024"/>
        <n v="272.38223908723398"/>
        <n v="593.33932441372599"/>
        <n v="445.90889802531899"/>
        <n v="184.15747587973601"/>
        <n v="381.34941449905199"/>
        <n v="129.87332670861301"/>
        <n v="1132.1781759299499"/>
        <n v="237.419790565927"/>
        <n v="1152.7475304370901"/>
        <n v="1043.3566219336301"/>
        <n v="576.40015471526101"/>
        <n v="435.92992971387201"/>
        <n v="516.55684942797097"/>
        <n v="680.77755822449399"/>
        <n v="459.32937836141599"/>
        <n v="573.42588771989801"/>
        <n v="193.33713845023701"/>
        <n v="164.186327122855"/>
        <n v="963.31783441407902"/>
        <n v="1772.9316230740101"/>
        <n v="847.99210084701701"/>
        <n v="1665.91014893494"/>
        <n v="520.61861188672799"/>
        <n v="1988.1875863533201"/>
        <n v="482.155882902651"/>
        <n v="603.54821753865201"/>
        <n v="43.907825302363499"/>
        <n v="207.82441685287401"/>
        <n v="570.94180758272398"/>
        <n v="447.80348558555397"/>
        <n v="445.65221586547398"/>
        <n v="386.69812750335899"/>
        <n v="1075.4727643940901"/>
        <n v="861.94407641732801"/>
        <n v="790.91724494023902"/>
        <n v="208.100383339297"/>
        <n v="439.16115235850299"/>
        <n v="115.21036690543799"/>
        <n v="1071.66576371271"/>
        <n v="81.394876809187096"/>
        <n v="263.17562426861701"/>
        <n v="808.55738001088901"/>
        <n v="1916.1906626432201"/>
        <n v="1033.1884530699499"/>
        <n v="690.27257844121596"/>
        <n v="1416.8558066016101"/>
        <n v="169.964357454322"/>
        <n v="501.85172314723098"/>
        <n v="708.58984441217297"/>
        <n v="193.168949979865"/>
        <n v="63.883440264384198"/>
        <n v="114.84700563867101"/>
        <n v="36.728707957005298"/>
        <n v="1257.7092376785899"/>
        <n v="151.23964547362701"/>
        <n v="1079.0096373112699"/>
        <n v="1186.07511722562"/>
        <n v="1490.40156838193"/>
        <n v="377.82753588301102"/>
        <n v="1562.4303707941399"/>
        <n v="74.687997847399402"/>
        <n v="1842.41095081138"/>
        <n v="2150.5748988867699"/>
        <n v="1134.8331982621401"/>
        <n v="863.82073320863901"/>
        <n v="325.643226725896"/>
        <n v="398.48668691294898"/>
        <n v="2161.21940834627"/>
        <n v="96.078802318120395"/>
        <n v="1894.35778469191"/>
        <n v="716.58463267254797"/>
        <n v="259.24834104632401"/>
        <n v="391.98044045058799"/>
        <n v="35.805006931472697"/>
        <n v="1456.5607264279899"/>
        <n v="293.18145232472602"/>
        <n v="1781.6112724565501"/>
        <n v="1059.51995521763"/>
        <n v="299.92036867945802"/>
        <n v="419.48227367059098"/>
        <n v="1892.4194400147401"/>
        <n v="1356.6123219431199"/>
        <n v="32.167559701439799"/>
        <n v="539.61282509174202"/>
        <n v="1681.6766532957199"/>
        <n v="55.908131030628098"/>
        <n v="25.0179077325168"/>
        <n v="171.620066841149"/>
        <n v="442.003082308746"/>
        <n v="1008.12550501051"/>
        <n v="455.66820173914101"/>
        <n v="549.47761794721305"/>
        <n v="174.049569920891"/>
        <n v="566.77492286553297"/>
        <n v="353.38570074039399"/>
        <n v="708.70802756699402"/>
        <n v="1385.6774846406499"/>
        <n v="473.27327569046503"/>
        <n v="629.78753101580003"/>
        <n v="138.46312016905699"/>
        <n v="118.874626422327"/>
        <n v="1655.7420307867101"/>
        <n v="32.204794945726299"/>
        <n v="1056.1659880969401"/>
        <n v="368.97565513061102"/>
        <n v="1690.5695641602299"/>
        <n v="100.422619717172"/>
        <n v="412.16963554745303"/>
        <n v="1397.94511320077"/>
        <n v="189.579319295538"/>
        <n v="212.62367431871201"/>
        <n v="1954.04672608486"/>
        <n v="1530.0604498319601"/>
        <n v="224.86481490262"/>
        <n v="158.70267635202299"/>
        <n v="634.26840238901298"/>
        <n v="703.00772850572605"/>
        <n v="159.401970158582"/>
        <n v="1688.53755666451"/>
        <n v="395.97682048161602"/>
        <n v="539.904594703366"/>
        <n v="1660.7389907199199"/>
        <n v="1695.91875277862"/>
        <n v="141.40737025087699"/>
        <n v="102.699096034698"/>
        <n v="548.28499133297203"/>
        <n v="270.78550408816"/>
        <n v="1156.22327806662"/>
        <n v="277.58684296787197"/>
        <n v="1137.54119760617"/>
        <n v="1477.6352720253001"/>
        <n v="497.87115322499699"/>
        <n v="725.19087495394695"/>
        <n v="218.751933901575"/>
        <n v="561.12930190783095"/>
        <n v="685.34048841821198"/>
        <n v="147.640031571246"/>
        <n v="1638.61316318014"/>
        <n v="442.57820615548002"/>
        <n v="73.825716292702097"/>
        <n v="961.80054701890401"/>
        <n v="215.933282237811"/>
        <n v="37.761425875875197"/>
        <n v="817.051698309416"/>
        <n v="2036.40944931594"/>
        <n v="258.23838109942199"/>
        <n v="604.70725240987497"/>
        <n v="2273.2610605130599"/>
        <n v="171.93529633162399"/>
        <n v="434.21345686380403"/>
        <n v="720.53317014590596"/>
        <n v="407.240641494035"/>
        <n v="278.55864681894502"/>
        <n v="328.48641368566803"/>
        <n v="202.59898102395599"/>
        <n v="22.485196787543799"/>
        <n v="472.95904091377201"/>
        <n v="878.40242173476304"/>
        <n v="138.732111372774"/>
        <n v="1614.8545804232201"/>
        <n v="1405.8516172382699"/>
        <n v="111.03425972293201"/>
        <n v="2268.1655892701801"/>
        <n v="472.63137080121697"/>
        <n v="123.62434074107701"/>
        <n v="1862.0573738436401"/>
        <n v="1085.9689512094301"/>
        <n v="407.38039243567499"/>
        <n v="741.20303797195595"/>
        <n v="337.533464120144"/>
        <n v="268.71460652625098"/>
        <n v="542.91814306649906"/>
        <n v="72.409299122625896"/>
        <n v="1065.8519745286701"/>
        <n v="861.137867304667"/>
        <n v="1501.56935297771"/>
        <n v="1083.62669399838"/>
        <n v="212.04158231665701"/>
        <n v="312.18085269469799"/>
        <n v="77.830110126939005"/>
        <n v="355.78503013714197"/>
        <n v="1292.9279027364"/>
        <n v="1487.5426672506901"/>
        <n v="1102.13058498855"/>
        <n v="48.397337913971803"/>
        <n v="483.412612293851"/>
        <n v="189.609601699704"/>
        <n v="1275.99223319267"/>
        <n v="1653.7842150204799"/>
        <n v="2095.1743291703101"/>
        <n v="327.14152825090002"/>
        <n v="1003.09116390893"/>
        <n v="269.97066311407599"/>
        <n v="393.21133798878299"/>
        <n v="472.13389894218699"/>
        <n v="87.152141346003503"/>
        <n v="534.52920398974504"/>
        <n v="263.51224465806399"/>
        <n v="154.099700365014"/>
        <n v="1379.56596989132"/>
        <n v="1410.7454308777401"/>
        <n v="287.07219956390003"/>
        <n v="1565.7461154562"/>
        <n v="553.01264076268797"/>
        <n v="241.19121104784099"/>
        <n v="1320.16463284479"/>
        <n v="1051.08829677105"/>
        <n v="652.54801373502005"/>
        <n v="730.318445447351"/>
        <n v="50.386951445019498"/>
        <n v="337.74732849197102"/>
        <n v="107.33074916359401"/>
        <n v="225.91910537064101"/>
        <n v="547.03838339542301"/>
        <n v="1755.2064954857699"/>
        <n v="284.99294595912301"/>
        <n v="393.33873269806003"/>
        <n v="606.96708209734095"/>
        <n v="820.51982236317394"/>
        <n v="452.69267665872297"/>
        <n v="40.839505667864302"/>
        <n v="1951.6401830521399"/>
        <n v="71.9724610553952"/>
        <n v="922.60827038525099"/>
        <n v="76.855175969283806"/>
        <n v="1811.6488345575599"/>
        <n v="666.10688967577801"/>
        <n v="853.67775060112103"/>
        <n v="1656.6794227686901"/>
        <n v="201.94977699019699"/>
        <n v="81.883274031242806"/>
        <n v="1911.0395627140899"/>
        <n v="1040.3343427774"/>
        <n v="1219.41648197781"/>
        <n v="82.702666183734493"/>
        <n v="83.8405604620134"/>
        <n v="330.51340588535697"/>
        <n v="1219.12544228977"/>
        <n v="2051.2921850388798"/>
        <n v="48.269942690948902"/>
        <n v="635.29237715786303"/>
        <n v="398.33890131113799"/>
        <n v="259.18812271227"/>
        <n v="903.30646194292501"/>
        <n v="114.735255891653"/>
        <n v="297.26709470308901"/>
      </sharedItems>
    </cacheField>
    <cacheField name="Profit" numFmtId="0">
      <sharedItems containsSemiMixedTypes="0" containsString="0" containsNumber="1" minValue="5.4630808730320899" maxValue="801.01245038043396" count="1000">
        <n v="46.594645582811097"/>
        <n v="515.51045534249704"/>
        <n v="197.933112058999"/>
        <n v="250.2195367029"/>
        <n v="322.99877672894098"/>
        <n v="149.34297444319299"/>
        <n v="179.827997715762"/>
        <n v="79.853011277105097"/>
        <n v="433.25830245764098"/>
        <n v="456.07615504859803"/>
        <n v="601.052474062898"/>
        <n v="90.901129050827194"/>
        <n v="397.51334377678899"/>
        <n v="220.09418597108299"/>
        <n v="247.64903953526999"/>
        <n v="229.510156757651"/>
        <n v="91.619462634914001"/>
        <n v="370.13869145978799"/>
        <n v="233.159225743684"/>
        <n v="64.172969717792697"/>
        <n v="120.876379977585"/>
        <n v="337.48339029377399"/>
        <n v="693.08264405359398"/>
        <n v="530.55477439595302"/>
        <n v="230.541697146226"/>
        <n v="49.066752726431602"/>
        <n v="102.989455931322"/>
        <n v="38.523112665872297"/>
        <n v="23.611111381055601"/>
        <n v="221.93606193465999"/>
        <n v="78.616832813840702"/>
        <n v="116.44207517919899"/>
        <n v="590.41160898980797"/>
        <n v="80.913996454251006"/>
        <n v="476.30790742608298"/>
        <n v="222.71565878232499"/>
        <n v="147.002671533246"/>
        <n v="135.83745622220499"/>
        <n v="41.203998465857403"/>
        <n v="128.044982571411"/>
        <n v="557.51456032926706"/>
        <n v="64.915655594026006"/>
        <n v="62.609767612765602"/>
        <n v="108.55611180887399"/>
        <n v="530.62985832233198"/>
        <n v="427.69787158453499"/>
        <n v="267.25338777925202"/>
        <n v="117.977518959424"/>
        <n v="283.78657097801698"/>
        <n v="641.86547941703896"/>
        <n v="221.18373807726601"/>
        <n v="178.32295006771599"/>
        <n v="62.594179630871999"/>
        <n v="424.453514985205"/>
        <n v="330.32642800486298"/>
        <n v="27.991721787371102"/>
        <n v="210.80068901654201"/>
        <n v="528.04840965292101"/>
        <n v="47.8862341180103"/>
        <n v="101.31453682269699"/>
        <n v="793.52372801318404"/>
        <n v="359.296713280468"/>
        <n v="78.055725434310204"/>
        <n v="160.94982305416499"/>
        <n v="62.358989800831701"/>
        <n v="433.92843784638097"/>
        <n v="47.208364791871297"/>
        <n v="167.03097666495901"/>
        <n v="239.803623520748"/>
        <n v="134.78807816449401"/>
        <n v="231.48376396325699"/>
        <n v="101.631490724351"/>
        <n v="126.021519769173"/>
        <n v="124.183571846272"/>
        <n v="54.796290529498499"/>
        <n v="125.815357119071"/>
        <n v="417.60216041556799"/>
        <n v="71.560536972540504"/>
        <n v="40.442603223098999"/>
        <n v="444.740663892165"/>
        <n v="214.239662075692"/>
        <n v="44.049148125050003"/>
        <n v="358.00782082116399"/>
        <n v="117.643952135959"/>
        <n v="64.229931056174095"/>
        <n v="35.473603858259999"/>
        <n v="52.0384174795023"/>
        <n v="211.048616598427"/>
        <n v="430.28212760012201"/>
        <n v="107.538912314518"/>
        <n v="389.926328813157"/>
        <n v="98.834479659710496"/>
        <n v="9.5268331322890507"/>
        <n v="145.16084601675399"/>
        <n v="26.3694912078053"/>
        <n v="126.211118447857"/>
        <n v="168.79937734884101"/>
        <n v="21.5383957555783"/>
        <n v="508.18780409487101"/>
        <n v="7.1626904849564701"/>
        <n v="70.190188319384802"/>
        <n v="114.78562989829599"/>
        <n v="212.995606146889"/>
        <n v="29.570152655517902"/>
        <n v="345.54799047139301"/>
        <n v="328.93538057380198"/>
        <n v="675.64192903159994"/>
        <n v="50.153136515409599"/>
        <n v="677.99745186028099"/>
        <n v="199.63873198959701"/>
        <n v="396.82892521006102"/>
        <n v="283.503324069195"/>
        <n v="403.97109597194401"/>
        <n v="130.056624993664"/>
        <n v="547.69070621417598"/>
        <n v="185.31805678379001"/>
        <n v="135.25154563369901"/>
        <n v="283.07595637087297"/>
        <n v="160.86992243095301"/>
        <n v="93.007929340687298"/>
        <n v="146.45094146966599"/>
        <n v="623.47845956730305"/>
        <n v="666.90855980022104"/>
        <n v="428.46476670697001"/>
        <n v="370.25543936408599"/>
        <n v="179.34963785532801"/>
        <n v="91.751839022528401"/>
        <n v="354.04746321851098"/>
        <n v="122.697541416524"/>
        <n v="63.975484319944499"/>
        <n v="62.250437757768999"/>
        <n v="239.58994413425"/>
        <n v="593.58521827101004"/>
        <n v="44.109697100620501"/>
        <n v="164.604705038605"/>
        <n v="50.101675178696198"/>
        <n v="67.9389596529806"/>
        <n v="21.878740361338401"/>
        <n v="38.846518651774403"/>
        <n v="575.90148567466804"/>
        <n v="270.98313819931798"/>
        <n v="199.775615734898"/>
        <n v="108.67480590141"/>
        <n v="109.894664012489"/>
        <n v="437.98303741574102"/>
        <n v="70.762868177588103"/>
        <n v="191.84420308241701"/>
        <n v="639.93515849368896"/>
        <n v="218.07437309322901"/>
        <n v="183.738345269734"/>
        <n v="110.590057323875"/>
        <n v="428.69368075241999"/>
        <n v="150.311958600883"/>
        <n v="381.47328839484902"/>
        <n v="225.378664156714"/>
        <n v="88.926384533688903"/>
        <n v="113.44051784145501"/>
        <n v="280.218400755132"/>
        <n v="80.384243162076004"/>
        <n v="125.645485453921"/>
        <n v="217.72659739482799"/>
        <n v="224.166534518687"/>
        <n v="391.35910611804701"/>
        <n v="330.50950035140198"/>
        <n v="389.02336839520501"/>
        <n v="48.365508705536698"/>
        <n v="214.504443046332"/>
        <n v="271.505735097978"/>
        <n v="474.08336433512102"/>
        <n v="58.502020853572198"/>
        <n v="528.68866869367002"/>
        <n v="325.15394784890202"/>
        <n v="49.547218900107097"/>
        <n v="140.05551596066101"/>
        <n v="427.241401235843"/>
        <n v="78.973792430052995"/>
        <n v="232.534851448138"/>
        <n v="285.21400450530598"/>
        <n v="385.69684864837802"/>
        <n v="163.96471430009601"/>
        <n v="54.350241346127603"/>
        <n v="192.32029322115"/>
        <n v="131.54616647344801"/>
        <n v="5.4630808730320899"/>
        <n v="63.817660223749499"/>
        <n v="164.701878480896"/>
        <n v="455.19264478601201"/>
        <n v="31.9987614154882"/>
        <n v="154.254486907737"/>
        <n v="250.171013181116"/>
        <n v="63.668068198868802"/>
        <n v="431.36029597517199"/>
        <n v="428.56468360802199"/>
        <n v="765.00201378825102"/>
        <n v="407.81740583660002"/>
        <n v="131.37840546412599"/>
        <n v="374.52231923515598"/>
        <n v="376.37555602541602"/>
        <n v="584.867794702011"/>
        <n v="25.8503224899797"/>
        <n v="83.436811817782001"/>
        <n v="166.27066531197701"/>
        <n v="358.00853441023997"/>
        <n v="176.22328958916299"/>
        <n v="405.60109474270001"/>
        <n v="77.338521306773103"/>
        <n v="473.51588892944801"/>
        <n v="225.138492370655"/>
        <n v="87.188920453178696"/>
        <n v="220.233667952453"/>
        <n v="71.4131227763488"/>
        <n v="290.01422002296698"/>
        <n v="35.4962553902728"/>
        <n v="26.620391613822498"/>
        <n v="46.3303447103469"/>
        <n v="122.875919041735"/>
        <n v="489.65750747177998"/>
        <n v="78.037980088191702"/>
        <n v="225.33540310202201"/>
        <n v="33.353436528638603"/>
        <n v="145.13744235896399"/>
        <n v="216.36075038225599"/>
        <n v="399.70379795499201"/>
        <n v="131.98393418528099"/>
        <n v="172.721531483738"/>
        <n v="351.56607875154799"/>
        <n v="29.069879403881501"/>
        <n v="114.988125322812"/>
        <n v="128.848390004198"/>
        <n v="232.590863835589"/>
        <n v="197.42352838159201"/>
        <n v="218.86748818941501"/>
        <n v="410.18175954403398"/>
        <n v="242.25568509309301"/>
        <n v="269.73789981523998"/>
        <n v="390.39299355932798"/>
        <n v="295.646099241922"/>
        <n v="215.041802684944"/>
        <n v="230.563530685816"/>
        <n v="200.39662433472901"/>
        <n v="264.28004775430003"/>
        <n v="117.106441574247"/>
        <n v="467.040043670915"/>
        <n v="717.34172366651399"/>
        <n v="54.280396098542298"/>
        <n v="465.70892251521599"/>
        <n v="160.939533777805"/>
        <n v="93.114758858142494"/>
        <n v="64.304420244868396"/>
        <n v="210.40051929220201"/>
        <n v="105.138018966735"/>
        <n v="48.408929959235401"/>
        <n v="78.843808502905603"/>
        <n v="193.221740846389"/>
        <n v="272.78787757480302"/>
        <n v="316.53817041001298"/>
        <n v="88.803460459771898"/>
        <n v="39.082016946169901"/>
        <n v="205.75878427143701"/>
        <n v="630.54202127806695"/>
        <n v="496.56903115447699"/>
        <n v="155.328929665288"/>
        <n v="411.376397249283"/>
        <n v="165.75232788978801"/>
        <n v="220.47926859469999"/>
        <n v="353.93132035546603"/>
        <n v="212.242466775579"/>
        <n v="44.336775295068797"/>
        <n v="511.34960653063598"/>
        <n v="190.819717787738"/>
        <n v="230.63113135087201"/>
        <n v="420.91034696761398"/>
        <n v="206.00657088411"/>
        <n v="706.38315690817797"/>
        <n v="428.118964921648"/>
        <n v="116.485757908417"/>
        <n v="417.226107623742"/>
        <n v="372.38461249063198"/>
        <n v="632.24860278227402"/>
        <n v="343.101825996537"/>
        <n v="423.32741598383097"/>
        <n v="224.745137571393"/>
        <n v="77.585874505393093"/>
        <n v="431.00708156690899"/>
        <n v="231.03814766313101"/>
        <n v="720.44027540130799"/>
        <n v="156.13738061768299"/>
        <n v="456.21653641941299"/>
        <n v="159.39204115969099"/>
        <n v="599.62083492767999"/>
        <n v="572.966653119169"/>
        <n v="410.877189505498"/>
        <n v="130.37941980646801"/>
        <n v="79.052849347661194"/>
        <n v="82.795893347359694"/>
        <n v="42.2478545760885"/>
        <n v="27.8392638703105"/>
        <n v="147.74170055827301"/>
        <n v="189.67550480244901"/>
        <n v="595.13673534290399"/>
        <n v="343.77725796434498"/>
        <n v="135.413895262083"/>
        <n v="24.9779306614045"/>
        <n v="193.23656785267801"/>
        <n v="356.13814960007801"/>
        <n v="17.396899058054"/>
        <n v="164.620385827219"/>
        <n v="147.64542280723799"/>
        <n v="59.874590836207503"/>
        <n v="312.86939475795299"/>
        <n v="112.859559065097"/>
        <n v="67.648093947929993"/>
        <n v="153.539451774822"/>
        <n v="50.465910892215803"/>
        <n v="795.67684919405394"/>
        <n v="379.72472146147601"/>
        <n v="333.64124002697298"/>
        <n v="178.12388918864801"/>
        <n v="138.86828357375501"/>
        <n v="340.00598700756302"/>
        <n v="6.7268672953628501"/>
        <n v="41.8356594528979"/>
        <n v="45.451527777883598"/>
        <n v="132.88684526697301"/>
        <n v="223.726309686246"/>
        <n v="64.477180921680798"/>
        <n v="142.31917918886899"/>
        <n v="210.86956956437999"/>
        <n v="27.771109078391301"/>
        <n v="33.445209739078599"/>
        <n v="586.93663697759405"/>
        <n v="71.985417469398101"/>
        <n v="677.96091397180203"/>
        <n v="228.84695673973201"/>
        <n v="283.77584483994599"/>
        <n v="463.86412155574698"/>
        <n v="33.891988193268297"/>
        <n v="48.0801460955282"/>
        <n v="14.4664334771381"/>
        <n v="214.193252494538"/>
        <n v="360.61357548123402"/>
        <n v="101.357630059577"/>
        <n v="145.00010272268901"/>
        <n v="133.870640899574"/>
        <n v="309.70093544820998"/>
        <n v="68.989663639725904"/>
        <n v="29.908609656504499"/>
        <n v="147.21056055924601"/>
        <n v="585.46368470925199"/>
        <n v="146.54382007657401"/>
        <n v="363.81662030351902"/>
        <n v="66.371502793813093"/>
        <n v="147.98279301071301"/>
        <n v="33.610124022005103"/>
        <n v="127.330493554779"/>
        <n v="389.69576032212001"/>
        <n v="40.685190684419403"/>
        <n v="492.55033391325799"/>
        <n v="463.04934647781403"/>
        <n v="300.73943030914802"/>
        <n v="551.75403527101696"/>
        <n v="237.60554118342"/>
        <n v="234.61497443883999"/>
        <n v="195.034973492592"/>
        <n v="183.00221687540801"/>
        <n v="108.399858717664"/>
        <n v="95.637158900892501"/>
        <n v="496.62093962189903"/>
        <n v="77.951692528739699"/>
        <n v="392.85824332318998"/>
        <n v="396.10778010401901"/>
        <n v="475.16380785735998"/>
        <n v="463.85718955299802"/>
        <n v="323.19674306655997"/>
        <n v="73.138002913575306"/>
        <n v="291.31024574857202"/>
        <n v="42.217536698113598"/>
        <n v="431.94655851546599"/>
        <n v="81.009114096452294"/>
        <n v="203.17124042615899"/>
        <n v="345.75010216097297"/>
        <n v="291.99134691428202"/>
        <n v="408.577537955249"/>
        <n v="45.1572864537317"/>
        <n v="146.99707338469099"/>
        <n v="523.98388375546199"/>
        <n v="86.581960207726993"/>
        <n v="163.354839207005"/>
        <n v="299.79844777999"/>
        <n v="74.667763434523593"/>
        <n v="33.972821938732103"/>
        <n v="141.161544112857"/>
        <n v="297.93348067069599"/>
        <n v="43.152494700208699"/>
        <n v="177.095184286413"/>
        <n v="571.54900513228699"/>
        <n v="421.851858875537"/>
        <n v="136.12391194770001"/>
        <n v="96.617429879938996"/>
        <n v="197.091784092707"/>
        <n v="303.56999006183401"/>
        <n v="233.71540601826101"/>
        <n v="195.629822965307"/>
        <n v="562.07464294305805"/>
        <n v="523.01507715447497"/>
        <n v="173.44040828327499"/>
        <n v="543.595320098922"/>
        <n v="71.188197844500607"/>
        <n v="362.89520163141702"/>
        <n v="122.956009370071"/>
        <n v="238.677452404062"/>
        <n v="469.363389459887"/>
        <n v="204.842525447372"/>
        <n v="305.045780755995"/>
        <n v="78.445402611245498"/>
        <n v="476.53488445018399"/>
        <n v="221.118254792089"/>
        <n v="193.48468035872099"/>
        <n v="261.45579634438099"/>
        <n v="449.51237399445398"/>
        <n v="489.41492595155302"/>
        <n v="252.66205278244601"/>
        <n v="218.15182587906401"/>
        <n v="493.28415403652298"/>
        <n v="27.980132627109299"/>
        <n v="304.68788371288201"/>
        <n v="210.76447992058101"/>
        <n v="117.802534811903"/>
        <n v="92.025260641806199"/>
        <n v="433.104345833921"/>
        <n v="241.73653581791601"/>
        <n v="615.02858782918599"/>
        <n v="268.26118723902101"/>
        <n v="12.575321656726601"/>
        <n v="89.814018974824094"/>
        <n v="150.805420174657"/>
        <n v="39.326700875615003"/>
        <n v="31.444217186355601"/>
        <n v="579.21141070022804"/>
        <n v="386.61473810614598"/>
        <n v="59.758342271858503"/>
        <n v="130.860704261546"/>
        <n v="285.07384474123"/>
        <n v="27.720927954637599"/>
        <n v="84.641995715658496"/>
        <n v="195.44457693419201"/>
        <n v="38.003141105647899"/>
        <n v="295.85315087691998"/>
        <n v="72.252517949884194"/>
        <n v="58.534034861888898"/>
        <n v="600.941834169"/>
        <n v="123.645819180362"/>
        <n v="135.39499127691499"/>
        <n v="53.359094619096503"/>
        <n v="472.90635110687401"/>
        <n v="314.20695420359999"/>
        <n v="323.85695650813102"/>
        <n v="247.23493968859501"/>
        <n v="340.871124650892"/>
        <n v="290.38660427228803"/>
        <n v="394.45033299609298"/>
        <n v="83.092329045493202"/>
        <n v="91.981694690991503"/>
        <n v="701.19846951109298"/>
        <n v="129.36456122727"/>
        <n v="678.19252721099599"/>
        <n v="421.63494689592301"/>
        <n v="684.64368245390006"/>
        <n v="301.825501850438"/>
        <n v="34.5315250675771"/>
        <n v="312.54721461122199"/>
        <n v="113.179551529473"/>
        <n v="166.958208509684"/>
        <n v="173.858957436634"/>
        <n v="61.855960971528503"/>
        <n v="354.30200974572301"/>
        <n v="702.07636728474995"/>
        <n v="63.508598660308998"/>
        <n v="256.28915375433701"/>
        <n v="612.52297586158795"/>
        <n v="293.969988171436"/>
        <n v="234.017936897455"/>
        <n v="41.524981295274202"/>
        <n v="13.367556506394701"/>
        <n v="106.872351334917"/>
        <n v="296.822841792975"/>
        <n v="171.08152475604899"/>
        <n v="16.5452539423943"/>
        <n v="563.66455391822205"/>
        <n v="36.204429271114797"/>
        <n v="53.744320121451601"/>
        <n v="127.384118979859"/>
        <n v="298.01731766694598"/>
        <n v="313.27973617613497"/>
        <n v="493.131204200968"/>
        <n v="468.76638260478398"/>
        <n v="773.61798161773095"/>
        <n v="79.700560669385794"/>
        <n v="161.554446633536"/>
        <n v="528.77929810956505"/>
        <n v="353.42551258893701"/>
        <n v="68.841719032549804"/>
        <n v="539.43304738861798"/>
        <n v="67.542206341554703"/>
        <n v="164.05560572869399"/>
        <n v="128.25939581933099"/>
        <n v="61.515313400410797"/>
        <n v="23.079134891608199"/>
        <n v="247.99045262029"/>
        <n v="226.47744329704699"/>
        <n v="24.426883636516202"/>
        <n v="315.445700449382"/>
        <n v="164.75864561"/>
        <n v="93.274171785722999"/>
        <n v="263.78480047188901"/>
        <n v="499.68382907562602"/>
        <n v="213.98025924665001"/>
        <n v="508.24472013481198"/>
        <n v="479.752478904859"/>
        <n v="83.365132067785893"/>
        <n v="61.344327217614499"/>
        <n v="174.493998352934"/>
        <n v="441.947991916403"/>
        <n v="388.25108902744898"/>
        <n v="341.11359677266302"/>
        <n v="424.236385364932"/>
        <n v="564.03442683388403"/>
        <n v="70.6525621626256"/>
        <n v="299.09804553891598"/>
        <n v="367.91322495560098"/>
        <n v="37.448658221041597"/>
        <n v="367.37909398250002"/>
        <n v="564.16289988324604"/>
        <n v="88.879431979447602"/>
        <n v="357.09317608050202"/>
        <n v="501.75033794537302"/>
        <n v="78.421942239090697"/>
        <n v="123.38394019517099"/>
        <n v="44.320733977946098"/>
        <n v="39.021796523217297"/>
        <n v="764.88624448378198"/>
        <n v="66.566113963738502"/>
        <n v="288.02013958760199"/>
        <n v="98.199339429403494"/>
        <n v="709.77146727194997"/>
        <n v="52.331695970786598"/>
        <n v="103.64433695420099"/>
        <n v="11.272304383323799"/>
        <n v="115.743005053405"/>
        <n v="42.065498357774104"/>
        <n v="231.44216767091601"/>
        <n v="132.68694458431099"/>
        <n v="43.067797933061598"/>
        <n v="374.57898029358199"/>
        <n v="313.26143388610598"/>
        <n v="168.85805866261899"/>
        <n v="234.525404300876"/>
        <n v="87.857475111738594"/>
        <n v="124.60028914135199"/>
        <n v="324.58684625572499"/>
        <n v="352.90944948085098"/>
        <n v="57.9225367706414"/>
        <n v="444.22715915286898"/>
        <n v="26.608838827893901"/>
        <n v="104.190431858548"/>
        <n v="150.30067673788199"/>
        <n v="580.32694286963897"/>
        <n v="113.396072222754"/>
        <n v="149.13301627626399"/>
        <n v="267.774972685612"/>
        <n v="638.17536905268798"/>
        <n v="176.49169571108399"/>
        <n v="180.702090484851"/>
        <n v="6.5465176523732396"/>
        <n v="145.273407545184"/>
        <n v="237.48086815679801"/>
        <n v="290.02361340736297"/>
        <n v="443.14200716697798"/>
        <n v="112.27977849275899"/>
        <n v="65.221221565880896"/>
        <n v="220.21565386169101"/>
        <n v="103.954316337783"/>
        <n v="39.186321840815602"/>
        <n v="33.194426059447302"/>
        <n v="202.438657106383"/>
        <n v="714.27392516155703"/>
        <n v="182.35664711173601"/>
        <n v="20.3343980335233"/>
        <n v="27.6465816738597"/>
        <n v="125.937124869261"/>
        <n v="51.942302510755098"/>
        <n v="139.137897214117"/>
        <n v="763.34823931648396"/>
        <n v="8.7532319274468193"/>
        <n v="145.440396947648"/>
        <n v="307.758219939914"/>
        <n v="180.230360735658"/>
        <n v="465.15024304636199"/>
        <n v="376.63443660405397"/>
        <n v="180.75955461953799"/>
        <n v="118.620180563771"/>
        <n v="72.575458484828602"/>
        <n v="41.163702261960701"/>
        <n v="63.772164393194899"/>
        <n v="78.409293969465494"/>
        <n v="381.64011126531199"/>
        <n v="571.10849075480701"/>
        <n v="160.83976840638601"/>
        <n v="148.306997183975"/>
        <n v="426.44618189730102"/>
        <n v="402.31718088986003"/>
        <n v="238.11021915068201"/>
        <n v="471.934375051833"/>
        <n v="342.37347742136001"/>
        <n v="611.87332474866002"/>
        <n v="757.00871969321099"/>
        <n v="270.07771156922098"/>
        <n v="54.618363846636498"/>
        <n v="115.63089780010699"/>
        <n v="309.43680063243198"/>
        <n v="156.43169004602299"/>
        <n v="309.28275457107202"/>
        <n v="365.57244467180197"/>
        <n v="345.33396172174503"/>
        <n v="734.19837982735805"/>
        <n v="222.14014192401601"/>
        <n v="53.165418620285401"/>
        <n v="154.83791154696701"/>
        <n v="317.625731043293"/>
        <n v="285.403800028136"/>
        <n v="124.96732314686101"/>
        <n v="592.78703066513594"/>
        <n v="403.88356419542703"/>
        <n v="129.44315333486401"/>
        <n v="132.92669595070899"/>
        <n v="105.74083583422799"/>
        <n v="129.50195709573299"/>
        <n v="801.01245038043396"/>
        <n v="41.565192710391798"/>
        <n v="74.940613992155804"/>
        <n v="434.21798985002999"/>
        <n v="242.04955651317499"/>
        <n v="162.71153256079199"/>
        <n v="341.97913482996898"/>
        <n v="228.97028502071501"/>
        <n v="441.79589652751298"/>
        <n v="38.278791367173802"/>
        <n v="286.06508030135097"/>
        <n v="208.699644186005"/>
        <n v="104.348798837487"/>
        <n v="358.59152187326998"/>
        <n v="40.713924797751801"/>
        <n v="171.44143073082"/>
        <n v="189.01095712806799"/>
        <n v="598.63829241988003"/>
        <n v="596.30143089219598"/>
        <n v="448.51932478285198"/>
        <n v="584.03418345772695"/>
        <n v="356.82850077874201"/>
        <n v="380.27826062630101"/>
        <n v="10.679590200663601"/>
        <n v="351.04458444454002"/>
        <n v="448.815400027377"/>
        <n v="508.74361052013001"/>
        <n v="138.31383023275001"/>
        <n v="190.49691334161801"/>
        <n v="449.78671223469502"/>
        <n v="84.3599715452049"/>
        <n v="71.390072757219002"/>
        <n v="581.45939672718896"/>
        <n v="310.69388116867299"/>
        <n v="431.70938795471397"/>
        <n v="416.23032115937798"/>
        <n v="20.863102613742701"/>
        <n v="177.7627158706"/>
        <n v="45.452966086808303"/>
        <n v="367.756984735549"/>
        <n v="174.97890470496699"/>
        <n v="351.495442711225"/>
        <n v="41.207612768660603"/>
        <n v="344.94026756453297"/>
        <n v="81.680860250091101"/>
        <n v="617.675468750091"/>
        <n v="753.92428491322801"/>
        <n v="358.74660620031102"/>
        <n v="650.27379610056198"/>
        <n v="480.024048890654"/>
        <n v="65.245698064430798"/>
        <n v="225.62829892497601"/>
        <n v="43.514381133318302"/>
        <n v="210.852453471167"/>
        <n v="495.61218157069902"/>
        <n v="77.820406807998594"/>
        <n v="582.72179816409198"/>
        <n v="190.558034264409"/>
        <n v="56.137053569598301"/>
        <n v="183.475715413758"/>
        <n v="46.984067126376502"/>
        <n v="419.65156936152601"/>
        <n v="179.04559334883999"/>
        <n v="170.703888750863"/>
        <n v="102.823379813629"/>
        <n v="310.05970416137501"/>
        <n v="226.95221176376"/>
        <n v="83.679900711007804"/>
        <n v="243.82445802014001"/>
        <n v="61.3406256238598"/>
        <n v="272.800250081321"/>
        <n v="364.56101319095399"/>
        <n v="63.7004026225014"/>
        <n v="220.82958694666701"/>
        <n v="78.833317682479105"/>
        <n v="199.14250311503699"/>
        <n v="191.41130803450099"/>
        <n v="257.02653453454701"/>
        <n v="46.272992814495304"/>
        <n v="58.427238971726403"/>
        <n v="439.71552456601398"/>
        <n v="179.533093102935"/>
        <n v="39.4619219098511"/>
        <n v="86.165835360858594"/>
        <n v="341.43951386524901"/>
        <n v="165.50279536803899"/>
        <n v="235.25368456910601"/>
        <n v="200.91571650532299"/>
        <n v="659.39997932318397"/>
        <n v="227.92007755999501"/>
        <n v="341.11093288032703"/>
        <n v="185.987709879048"/>
        <n v="200.97145794163299"/>
        <n v="199.074479662209"/>
        <n v="286.30767738801399"/>
        <n v="649.078480379295"/>
        <n v="27.1972365273352"/>
        <n v="123.009646884663"/>
        <n v="241.96158847352399"/>
        <n v="461.456860484684"/>
        <n v="42.968420770008599"/>
        <n v="267.83267515020901"/>
        <n v="150.201756620119"/>
        <n v="532.08947835082301"/>
        <n v="677.54150977183997"/>
        <n v="296.76355195444802"/>
        <n v="20.268723490665302"/>
        <n v="104.069853367002"/>
        <n v="167.15352259680401"/>
        <n v="453.47077810380301"/>
        <n v="240.71984587475399"/>
        <n v="163.51999227786899"/>
        <n v="42.043755947531402"/>
        <n v="164.90248639333299"/>
        <n v="77.908909423926403"/>
        <n v="17.186550385264301"/>
        <n v="74.055489326107207"/>
        <n v="81.714671726170195"/>
        <n v="178.00179732411701"/>
        <n v="133.772669407595"/>
        <n v="55.247242763920802"/>
        <n v="114.404824349715"/>
        <n v="38.961998012584097"/>
        <n v="339.65345277898501"/>
        <n v="71.225937169778206"/>
        <n v="345.82425913112797"/>
        <n v="313.00698658008997"/>
        <n v="172.920046414578"/>
        <n v="130.778978914161"/>
        <n v="154.96705482839101"/>
        <n v="204.23326746734801"/>
        <n v="137.79881350842399"/>
        <n v="172.02776631596899"/>
        <n v="58.001141535071298"/>
        <n v="49.2558981368567"/>
        <n v="288.99535032422301"/>
        <n v="531.87948692220505"/>
        <n v="254.397630254105"/>
        <n v="499.77304468048197"/>
        <n v="156.18558356601801"/>
        <n v="596.45627590599804"/>
        <n v="144.64676487079501"/>
        <n v="181.06446526159499"/>
        <n v="13.172347590709"/>
        <n v="62.3473250558622"/>
        <n v="171.28254227481699"/>
        <n v="134.34104567566601"/>
        <n v="133.695664759642"/>
        <n v="116.009438251007"/>
        <n v="322.64182931822802"/>
        <n v="258.58322292519802"/>
        <n v="237.27517348207101"/>
        <n v="62.430115001789098"/>
        <n v="131.74834570755101"/>
        <n v="34.563110071631499"/>
        <n v="321.499729113814"/>
        <n v="24.418463042756098"/>
        <n v="78.952687280585295"/>
        <n v="242.567214003266"/>
        <n v="574.85719879296801"/>
        <n v="309.956535920985"/>
        <n v="207.081773532364"/>
        <n v="425.05674198048399"/>
        <n v="50.989307236296703"/>
        <n v="150.555516944169"/>
        <n v="212.57695332365199"/>
        <n v="57.950684993959598"/>
        <n v="19.1650320793152"/>
        <n v="34.454101691601302"/>
        <n v="11.0186123871016"/>
        <n v="377.31277130357699"/>
        <n v="45.371893642088303"/>
        <n v="323.70289119338099"/>
        <n v="355.822535167686"/>
        <n v="447.12047051458097"/>
        <n v="113.348260764903"/>
        <n v="468.72911123824298"/>
        <n v="22.406399354219801"/>
        <n v="552.72328524341401"/>
        <n v="645.17246966603295"/>
        <n v="340.449959478643"/>
        <n v="259.14621996259098"/>
        <n v="97.692968017768806"/>
        <n v="119.546006073884"/>
        <n v="648.36582250388096"/>
        <n v="28.823640695436101"/>
        <n v="568.30733540757501"/>
        <n v="214.97538980176401"/>
        <n v="77.774502313897301"/>
        <n v="117.594132135176"/>
        <n v="10.741502079441799"/>
        <n v="436.968217928397"/>
        <n v="87.954435697417793"/>
        <n v="534.48338173696698"/>
        <n v="317.855986565291"/>
        <n v="89.976110603837398"/>
        <n v="125.844682101177"/>
        <n v="567.72583200442205"/>
        <n v="406.98369658293802"/>
        <n v="9.6502679104319409"/>
        <n v="161.88384752752199"/>
        <n v="504.502995988718"/>
        <n v="16.7724393091884"/>
        <n v="7.5053723197550601"/>
        <n v="51.486020052344799"/>
        <n v="132.60092469262301"/>
        <n v="302.43765150315397"/>
        <n v="136.700460521742"/>
        <n v="164.84328538416401"/>
        <n v="52.214870976267498"/>
        <n v="170.03247685965999"/>
        <n v="106.015710222118"/>
        <n v="212.612408270098"/>
        <n v="415.70324539219502"/>
        <n v="141.981982707139"/>
        <n v="188.93625930473999"/>
        <n v="41.538936050717098"/>
        <n v="35.662387926698102"/>
        <n v="496.722609236013"/>
        <n v="9.6614384837178893"/>
        <n v="316.84979642908399"/>
        <n v="110.692696539183"/>
        <n v="507.17086924807103"/>
        <n v="30.1267859151518"/>
        <n v="123.650890664236"/>
        <n v="419.38353396023302"/>
        <n v="56.873795788661603"/>
        <n v="63.7871022956136"/>
        <n v="586.21401782546002"/>
        <n v="459.01813494958799"/>
        <n v="67.459444470786096"/>
        <n v="47.610802905607002"/>
        <n v="190.28052071670399"/>
        <n v="210.902318551718"/>
        <n v="47.820591047574801"/>
        <n v="506.56126699935498"/>
        <n v="118.79304614448399"/>
        <n v="161.971378411009"/>
        <n v="498.221697215978"/>
        <n v="508.77562583358701"/>
        <n v="42.4222110752631"/>
        <n v="30.8097288104094"/>
        <n v="164.48549739989099"/>
        <n v="81.235651226447999"/>
        <n v="346.86698341998601"/>
        <n v="83.276052890361797"/>
        <n v="341.26235928185298"/>
        <n v="443.29058160759001"/>
        <n v="149.36134596749901"/>
        <n v="217.55726248618399"/>
        <n v="65.625580170472503"/>
        <n v="168.33879057234901"/>
        <n v="205.60214652546301"/>
        <n v="44.292009471373902"/>
        <n v="491.58394895404302"/>
        <n v="132.77346184664401"/>
        <n v="22.147714887810601"/>
        <n v="288.54016410567101"/>
        <n v="64.7799846713433"/>
        <n v="11.3284277627625"/>
        <n v="245.115509492824"/>
        <n v="610.92283479478294"/>
        <n v="77.471514329826803"/>
        <n v="181.41217572296199"/>
        <n v="681.97831815391999"/>
        <n v="51.580588899487203"/>
        <n v="130.264037059141"/>
        <n v="216.159951043771"/>
        <n v="122.17219244821"/>
        <n v="83.567594045683506"/>
        <n v="98.545924105700394"/>
        <n v="60.779694307186801"/>
        <n v="6.7455590362631597"/>
        <n v="141.88771227413099"/>
        <n v="263.52072652042898"/>
        <n v="41.619633411832297"/>
        <n v="484.456374126968"/>
        <n v="421.75548517148297"/>
        <n v="33.310277916879798"/>
        <n v="680.449676781054"/>
        <n v="141.78941124036501"/>
        <n v="37.087302222323103"/>
        <n v="558.61721215309399"/>
        <n v="325.79068536283103"/>
        <n v="122.214117730702"/>
        <n v="222.360911391586"/>
        <n v="101.260039236043"/>
        <n v="80.614381957875295"/>
        <n v="162.87544291994899"/>
        <n v="21.7227897367877"/>
        <n v="319.75559235860197"/>
        <n v="258.34136019139999"/>
        <n v="450.470805893315"/>
        <n v="325.088008199515"/>
        <n v="63.612474694997097"/>
        <n v="93.654255808409502"/>
        <n v="23.3490330380817"/>
        <n v="106.735509041142"/>
        <n v="387.87837082092102"/>
        <n v="446.26280017520799"/>
        <n v="330.63917549656497"/>
        <n v="14.5192013741915"/>
        <n v="145.02378368815499"/>
        <n v="56.882880509911203"/>
        <n v="382.79766995780301"/>
        <n v="496.13526450614302"/>
        <n v="628.55229875109296"/>
        <n v="98.142458475270104"/>
        <n v="300.92734917267899"/>
        <n v="80.991198934222993"/>
        <n v="117.963401396634"/>
        <n v="141.64016968265599"/>
        <n v="26.145642403800998"/>
        <n v="160.35876119692301"/>
        <n v="79.053673397419203"/>
        <n v="46.229910109504203"/>
        <n v="413.86979096739799"/>
        <n v="423.22362926332403"/>
        <n v="86.121659869170102"/>
        <n v="469.72383463686202"/>
        <n v="165.903792228806"/>
        <n v="72.357363314352298"/>
        <n v="396.04938985343699"/>
        <n v="315.32648903131599"/>
        <n v="195.76440412050599"/>
        <n v="219.095533634205"/>
        <n v="15.1160854335058"/>
        <n v="101.324198547591"/>
        <n v="32.199224749078297"/>
        <n v="67.775731611192299"/>
        <n v="164.11151501862699"/>
        <n v="526.56194864573195"/>
        <n v="85.497883787736896"/>
        <n v="118.001619809418"/>
        <n v="182.09012462920199"/>
        <n v="246.155946708952"/>
        <n v="135.80780299761699"/>
        <n v="12.2518517003593"/>
        <n v="585.49205491564396"/>
        <n v="21.5917383166185"/>
        <n v="276.78248111557502"/>
        <n v="23.056552790785101"/>
        <n v="543.49465036726895"/>
        <n v="199.832066902733"/>
        <n v="256.10332518033601"/>
        <n v="497.00382683060701"/>
        <n v="60.584933097059299"/>
        <n v="24.564982209372801"/>
        <n v="573.31186881422798"/>
        <n v="312.10030283322101"/>
        <n v="365.82494459334299"/>
        <n v="24.810799855120301"/>
        <n v="25.152168138604001"/>
        <n v="99.154021765607297"/>
        <n v="365.73763268693199"/>
        <n v="615.387655511665"/>
        <n v="14.480982807284599"/>
        <n v="190.58771314735901"/>
        <n v="119.501670393341"/>
        <n v="77.756436813681006"/>
        <n v="270.99193858287703"/>
        <n v="34.420576767495902"/>
        <n v="89.180128410926798"/>
      </sharedItems>
    </cacheField>
    <cacheField name="Payment_Method" numFmtId="0">
      <sharedItems/>
    </cacheField>
    <cacheField name="Purchase" numFmtId="0">
      <sharedItems containsSemiMixedTypes="0" containsString="0" containsNumber="1" minValue="12.747188703741511" maxValue="1869.029050887676"/>
    </cacheField>
    <cacheField name="Percentage" numFmtId="10">
      <sharedItems containsSemiMixedTypes="0" containsString="0" containsNumber="1" minValue="0.29999999999999744" maxValue="0.30000000000000199"/>
    </cacheField>
    <cacheField name="Column1" numFmtId="0">
      <sharedItems containsNonDate="0" containsString="0" containsBlank="1"/>
    </cacheField>
    <cacheField name="Days (Date)" numFmtId="0" databaseField="0">
      <fieldGroup base="7">
        <rangePr groupBy="days" startDate="2024-01-01T00:00:00" endDate="2024-03-31T00:00:00"/>
        <groupItems count="368">
          <s v="&lt;01-01-202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1-03-2024"/>
        </groupItems>
      </fieldGroup>
    </cacheField>
    <cacheField name="Months (Date)" numFmtId="0" databaseField="0">
      <fieldGroup base="7">
        <rangePr groupBy="months" startDate="2024-01-01T00:00:00" endDate="2024-03-31T00:00:00"/>
        <groupItems count="14">
          <s v="&lt;01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03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INV1001"/>
    <x v="0"/>
    <x v="0"/>
    <n v="2316"/>
    <x v="0"/>
    <x v="0"/>
    <x v="0"/>
    <x v="0"/>
    <n v="155.31548527603701"/>
    <n v="1"/>
    <x v="0"/>
    <x v="0"/>
    <s v="E-Wallet"/>
    <n v="108.72083969322591"/>
    <n v="0.3"/>
    <m/>
  </r>
  <r>
    <s v="INV1002"/>
    <x v="1"/>
    <x v="0"/>
    <n v="1737"/>
    <x v="0"/>
    <x v="1"/>
    <x v="1"/>
    <x v="1"/>
    <n v="214.79602305937399"/>
    <n v="8"/>
    <x v="1"/>
    <x v="1"/>
    <s v="Cash"/>
    <n v="1202.8577291324928"/>
    <n v="0.3000000000000001"/>
    <m/>
  </r>
  <r>
    <s v="INV1003"/>
    <x v="0"/>
    <x v="0"/>
    <n v="2030"/>
    <x v="1"/>
    <x v="0"/>
    <x v="0"/>
    <x v="2"/>
    <n v="164.94426004916599"/>
    <n v="4"/>
    <x v="2"/>
    <x v="2"/>
    <s v="Cash"/>
    <n v="461.84392813766499"/>
    <n v="0.29999999999999966"/>
    <m/>
  </r>
  <r>
    <s v="INV1004"/>
    <x v="0"/>
    <x v="0"/>
    <n v="1638"/>
    <x v="0"/>
    <x v="1"/>
    <x v="2"/>
    <x v="3"/>
    <n v="166.81302446859999"/>
    <n v="5"/>
    <x v="3"/>
    <x v="3"/>
    <s v="E-Wallet"/>
    <n v="583.84558564010104"/>
    <n v="0.2999999999999996"/>
    <m/>
  </r>
  <r>
    <s v="INV1005"/>
    <x v="1"/>
    <x v="1"/>
    <n v="1935"/>
    <x v="1"/>
    <x v="0"/>
    <x v="3"/>
    <x v="4"/>
    <n v="134.582823637058"/>
    <n v="8"/>
    <x v="4"/>
    <x v="4"/>
    <s v="E-Wallet"/>
    <n v="753.66381236752886"/>
    <n v="0.30000000000000004"/>
    <m/>
  </r>
  <r>
    <s v="INV1006"/>
    <x v="1"/>
    <x v="0"/>
    <n v="2115"/>
    <x v="1"/>
    <x v="1"/>
    <x v="4"/>
    <x v="5"/>
    <n v="99.561982962128795"/>
    <n v="5"/>
    <x v="5"/>
    <x v="5"/>
    <s v="Credit Card"/>
    <n v="348.466940367451"/>
    <n v="0.2999999999999996"/>
    <m/>
  </r>
  <r>
    <s v="INV1007"/>
    <x v="0"/>
    <x v="2"/>
    <n v="2213"/>
    <x v="1"/>
    <x v="1"/>
    <x v="5"/>
    <x v="6"/>
    <n v="149.856664763135"/>
    <n v="4"/>
    <x v="6"/>
    <x v="6"/>
    <s v="Credit Card"/>
    <n v="419.59866133678099"/>
    <n v="0.29999999999999849"/>
    <m/>
  </r>
  <r>
    <s v="INV1008"/>
    <x v="2"/>
    <x v="2"/>
    <n v="1475"/>
    <x v="1"/>
    <x v="0"/>
    <x v="5"/>
    <x v="7"/>
    <n v="44.362784042836097"/>
    <n v="6"/>
    <x v="7"/>
    <x v="7"/>
    <s v="Credit Card"/>
    <n v="186.32369297991187"/>
    <n v="0.30000000000000004"/>
    <m/>
  </r>
  <r>
    <s v="INV1009"/>
    <x v="0"/>
    <x v="0"/>
    <n v="2485"/>
    <x v="0"/>
    <x v="1"/>
    <x v="2"/>
    <x v="8"/>
    <n v="288.83886830509402"/>
    <n v="5"/>
    <x v="8"/>
    <x v="8"/>
    <s v="E-Wallet"/>
    <n v="1010.936039067829"/>
    <n v="0.3"/>
    <m/>
  </r>
  <r>
    <s v="INV1010"/>
    <x v="0"/>
    <x v="0"/>
    <n v="1052"/>
    <x v="1"/>
    <x v="1"/>
    <x v="3"/>
    <x v="9"/>
    <n v="217.179121451713"/>
    <n v="7"/>
    <x v="9"/>
    <x v="9"/>
    <s v="E-Wallet"/>
    <n v="1064.177695113392"/>
    <n v="0.3000000000000006"/>
    <m/>
  </r>
  <r>
    <s v="INV1011"/>
    <x v="0"/>
    <x v="2"/>
    <n v="1753"/>
    <x v="0"/>
    <x v="0"/>
    <x v="1"/>
    <x v="10"/>
    <n v="286.21546383947498"/>
    <n v="7"/>
    <x v="10"/>
    <x v="10"/>
    <s v="E-Wallet"/>
    <n v="1402.4557728134221"/>
    <n v="0.30000000000000099"/>
    <m/>
  </r>
  <r>
    <s v="INV1012"/>
    <x v="0"/>
    <x v="2"/>
    <n v="1485"/>
    <x v="0"/>
    <x v="1"/>
    <x v="0"/>
    <x v="11"/>
    <n v="75.750940875689295"/>
    <n v="4"/>
    <x v="11"/>
    <x v="11"/>
    <s v="Credit Card"/>
    <n v="212.10263445192982"/>
    <n v="0.30000000000000032"/>
    <m/>
  </r>
  <r>
    <s v="INV1013"/>
    <x v="1"/>
    <x v="1"/>
    <n v="2387"/>
    <x v="0"/>
    <x v="1"/>
    <x v="0"/>
    <x v="12"/>
    <n v="265.00889585119302"/>
    <n v="5"/>
    <x v="12"/>
    <x v="12"/>
    <s v="E-Wallet"/>
    <n v="927.53113547917087"/>
    <n v="0.30000000000000082"/>
    <m/>
  </r>
  <r>
    <s v="INV1014"/>
    <x v="0"/>
    <x v="2"/>
    <n v="2135"/>
    <x v="0"/>
    <x v="1"/>
    <x v="0"/>
    <x v="13"/>
    <n v="244.54909552342599"/>
    <n v="3"/>
    <x v="13"/>
    <x v="13"/>
    <s v="Cash"/>
    <n v="513.55310059919498"/>
    <n v="0.29999999999999943"/>
    <m/>
  </r>
  <r>
    <s v="INV1015"/>
    <x v="2"/>
    <x v="2"/>
    <n v="1408"/>
    <x v="1"/>
    <x v="0"/>
    <x v="1"/>
    <x v="14"/>
    <n v="206.37419961272499"/>
    <n v="4"/>
    <x v="14"/>
    <x v="14"/>
    <s v="E-Wallet"/>
    <n v="577.84775891563095"/>
    <n v="0.29999999999999971"/>
    <m/>
  </r>
  <r>
    <s v="INV1016"/>
    <x v="1"/>
    <x v="0"/>
    <n v="2030"/>
    <x v="0"/>
    <x v="0"/>
    <x v="5"/>
    <x v="15"/>
    <n v="191.25846396470899"/>
    <n v="4"/>
    <x v="15"/>
    <x v="15"/>
    <s v="E-Wallet"/>
    <n v="535.52369910118705"/>
    <n v="0.29999999999999943"/>
    <m/>
  </r>
  <r>
    <s v="INV1017"/>
    <x v="2"/>
    <x v="2"/>
    <n v="1667"/>
    <x v="1"/>
    <x v="1"/>
    <x v="3"/>
    <x v="16"/>
    <n v="101.799402927682"/>
    <n v="3"/>
    <x v="16"/>
    <x v="16"/>
    <s v="E-Wallet"/>
    <n v="213.77874614813203"/>
    <n v="0.3000000000000006"/>
    <m/>
  </r>
  <r>
    <s v="INV1018"/>
    <x v="2"/>
    <x v="1"/>
    <n v="2220"/>
    <x v="0"/>
    <x v="0"/>
    <x v="1"/>
    <x v="2"/>
    <n v="246.75912763985801"/>
    <n v="5"/>
    <x v="17"/>
    <x v="17"/>
    <s v="E-Wallet"/>
    <n v="863.6569467395019"/>
    <n v="0.30000000000000082"/>
    <m/>
  </r>
  <r>
    <s v="INV1019"/>
    <x v="2"/>
    <x v="2"/>
    <n v="1834"/>
    <x v="0"/>
    <x v="1"/>
    <x v="0"/>
    <x v="7"/>
    <n v="155.439483829122"/>
    <n v="5"/>
    <x v="18"/>
    <x v="18"/>
    <s v="E-Wallet"/>
    <n v="544.03819340192899"/>
    <n v="0.30000000000000016"/>
    <m/>
  </r>
  <r>
    <s v="INV1020"/>
    <x v="2"/>
    <x v="0"/>
    <n v="1875"/>
    <x v="1"/>
    <x v="1"/>
    <x v="2"/>
    <x v="17"/>
    <n v="30.5585570084727"/>
    <n v="7"/>
    <x v="19"/>
    <x v="19"/>
    <s v="Cash"/>
    <n v="149.73692934151632"/>
    <n v="0.29999999999999993"/>
    <m/>
  </r>
  <r>
    <s v="INV1021"/>
    <x v="1"/>
    <x v="0"/>
    <n v="1366"/>
    <x v="1"/>
    <x v="1"/>
    <x v="4"/>
    <x v="18"/>
    <n v="100.730316647987"/>
    <n v="4"/>
    <x v="20"/>
    <x v="20"/>
    <s v="Cash"/>
    <n v="282.04488661436494"/>
    <n v="0.3000000000000001"/>
    <m/>
  </r>
  <r>
    <s v="INV1022"/>
    <x v="1"/>
    <x v="2"/>
    <n v="2001"/>
    <x v="1"/>
    <x v="1"/>
    <x v="1"/>
    <x v="19"/>
    <n v="281.23615857814502"/>
    <n v="4"/>
    <x v="21"/>
    <x v="21"/>
    <s v="E-Wallet"/>
    <n v="787.46124401880616"/>
    <n v="0.29999999999999993"/>
    <m/>
  </r>
  <r>
    <s v="INV1023"/>
    <x v="2"/>
    <x v="0"/>
    <n v="1249"/>
    <x v="0"/>
    <x v="1"/>
    <x v="1"/>
    <x v="20"/>
    <n v="256.697275575405"/>
    <n v="9"/>
    <x v="22"/>
    <x v="22"/>
    <s v="Credit Card"/>
    <n v="1617.1928361250461"/>
    <n v="0.30000000000000082"/>
    <m/>
  </r>
  <r>
    <s v="INV1024"/>
    <x v="2"/>
    <x v="1"/>
    <n v="2263"/>
    <x v="0"/>
    <x v="0"/>
    <x v="3"/>
    <x v="21"/>
    <n v="294.75265244219599"/>
    <n v="6"/>
    <x v="23"/>
    <x v="23"/>
    <s v="E-Wallet"/>
    <n v="1237.961140257217"/>
    <n v="0.30000000000000115"/>
    <m/>
  </r>
  <r>
    <s v="INV1025"/>
    <x v="1"/>
    <x v="1"/>
    <n v="1379"/>
    <x v="1"/>
    <x v="1"/>
    <x v="3"/>
    <x v="22"/>
    <n v="192.11808095518799"/>
    <n v="4"/>
    <x v="24"/>
    <x v="24"/>
    <s v="E-Wallet"/>
    <n v="537.93062667452705"/>
    <n v="0.30000000000000004"/>
    <m/>
  </r>
  <r>
    <s v="INV1026"/>
    <x v="1"/>
    <x v="2"/>
    <n v="1871"/>
    <x v="1"/>
    <x v="0"/>
    <x v="1"/>
    <x v="13"/>
    <n v="81.777921210719398"/>
    <n v="2"/>
    <x v="25"/>
    <x v="25"/>
    <s v="E-Wallet"/>
    <n v="114.4890896950064"/>
    <n v="0.30000000000000121"/>
    <m/>
  </r>
  <r>
    <s v="INV1027"/>
    <x v="1"/>
    <x v="2"/>
    <n v="1834"/>
    <x v="1"/>
    <x v="0"/>
    <x v="0"/>
    <x v="23"/>
    <n v="57.216364406290403"/>
    <n v="6"/>
    <x v="26"/>
    <x v="26"/>
    <s v="Credit Card"/>
    <n v="240.30873050642001"/>
    <n v="0.29999999999999827"/>
    <m/>
  </r>
  <r>
    <s v="INV1028"/>
    <x v="0"/>
    <x v="2"/>
    <n v="2494"/>
    <x v="1"/>
    <x v="1"/>
    <x v="4"/>
    <x v="24"/>
    <n v="64.205187776453798"/>
    <n v="2"/>
    <x v="27"/>
    <x v="27"/>
    <s v="Credit Card"/>
    <n v="89.887262887034694"/>
    <n v="0.3000000000000016"/>
    <m/>
  </r>
  <r>
    <s v="INV1029"/>
    <x v="0"/>
    <x v="0"/>
    <n v="1774"/>
    <x v="0"/>
    <x v="1"/>
    <x v="3"/>
    <x v="1"/>
    <n v="15.740740920703701"/>
    <n v="5"/>
    <x v="28"/>
    <x v="28"/>
    <s v="Credit Card"/>
    <n v="55.092593222463201"/>
    <n v="0.29999999999999949"/>
    <m/>
  </r>
  <r>
    <s v="INV1030"/>
    <x v="0"/>
    <x v="1"/>
    <n v="1918"/>
    <x v="1"/>
    <x v="0"/>
    <x v="0"/>
    <x v="25"/>
    <n v="123.297812185922"/>
    <n v="6"/>
    <x v="29"/>
    <x v="29"/>
    <s v="Cash"/>
    <n v="517.85081118087408"/>
    <n v="0.29999999999999966"/>
    <m/>
  </r>
  <r>
    <s v="INV1031"/>
    <x v="2"/>
    <x v="1"/>
    <n v="1454"/>
    <x v="1"/>
    <x v="0"/>
    <x v="2"/>
    <x v="4"/>
    <n v="65.514027344867301"/>
    <n v="4"/>
    <x v="30"/>
    <x v="30"/>
    <s v="Credit Card"/>
    <n v="183.43927656562829"/>
    <n v="0.3"/>
    <m/>
  </r>
  <r>
    <s v="INV1032"/>
    <x v="0"/>
    <x v="0"/>
    <n v="1365"/>
    <x v="1"/>
    <x v="0"/>
    <x v="3"/>
    <x v="26"/>
    <n v="129.380083532443"/>
    <n v="3"/>
    <x v="31"/>
    <x v="31"/>
    <s v="Cash"/>
    <n v="271.698175418132"/>
    <n v="0.29999999999999921"/>
    <m/>
  </r>
  <r>
    <s v="INV1033"/>
    <x v="2"/>
    <x v="1"/>
    <n v="2313"/>
    <x v="1"/>
    <x v="1"/>
    <x v="0"/>
    <x v="27"/>
    <n v="281.14838523324198"/>
    <n v="7"/>
    <x v="32"/>
    <x v="32"/>
    <s v="Cash"/>
    <n v="1377.6270876428821"/>
    <n v="0.30000000000000049"/>
    <m/>
  </r>
  <r>
    <s v="INV1034"/>
    <x v="2"/>
    <x v="2"/>
    <n v="1402"/>
    <x v="0"/>
    <x v="0"/>
    <x v="0"/>
    <x v="3"/>
    <n v="134.856660757085"/>
    <n v="2"/>
    <x v="33"/>
    <x v="33"/>
    <s v="Credit Card"/>
    <n v="188.799325059919"/>
    <n v="0.3"/>
    <m/>
  </r>
  <r>
    <s v="INV1035"/>
    <x v="0"/>
    <x v="2"/>
    <n v="1057"/>
    <x v="1"/>
    <x v="1"/>
    <x v="4"/>
    <x v="28"/>
    <n v="264.615504125602"/>
    <n v="6"/>
    <x v="34"/>
    <x v="34"/>
    <s v="Credit Card"/>
    <n v="1111.385117327527"/>
    <n v="0.29999999999999993"/>
    <m/>
  </r>
  <r>
    <s v="INV1036"/>
    <x v="2"/>
    <x v="2"/>
    <n v="1520"/>
    <x v="0"/>
    <x v="1"/>
    <x v="4"/>
    <x v="29"/>
    <n v="185.59638231860399"/>
    <n v="4"/>
    <x v="35"/>
    <x v="35"/>
    <s v="Credit Card"/>
    <n v="519.66987049209092"/>
    <n v="0.30000000000000032"/>
    <m/>
  </r>
  <r>
    <s v="INV1037"/>
    <x v="0"/>
    <x v="1"/>
    <n v="2327"/>
    <x v="1"/>
    <x v="1"/>
    <x v="2"/>
    <x v="30"/>
    <n v="81.668150851803603"/>
    <n v="6"/>
    <x v="36"/>
    <x v="36"/>
    <s v="Cash"/>
    <n v="343.00623357757502"/>
    <n v="0.29999999999999932"/>
    <m/>
  </r>
  <r>
    <s v="INV1038"/>
    <x v="0"/>
    <x v="2"/>
    <n v="2138"/>
    <x v="1"/>
    <x v="0"/>
    <x v="0"/>
    <x v="31"/>
    <n v="113.197880185171"/>
    <n v="4"/>
    <x v="37"/>
    <x v="37"/>
    <s v="E-Wallet"/>
    <n v="316.95406451847998"/>
    <n v="0.29999999999999888"/>
    <m/>
  </r>
  <r>
    <s v="INV1039"/>
    <x v="1"/>
    <x v="0"/>
    <n v="1209"/>
    <x v="0"/>
    <x v="1"/>
    <x v="5"/>
    <x v="11"/>
    <n v="34.336665388214499"/>
    <n v="4"/>
    <x v="38"/>
    <x v="38"/>
    <s v="Credit Card"/>
    <n v="96.142663087000585"/>
    <n v="0.3000000000000001"/>
    <m/>
  </r>
  <r>
    <s v="INV1040"/>
    <x v="0"/>
    <x v="0"/>
    <n v="2064"/>
    <x v="1"/>
    <x v="1"/>
    <x v="0"/>
    <x v="32"/>
    <n v="106.704152142843"/>
    <n v="4"/>
    <x v="39"/>
    <x v="39"/>
    <s v="Credit Card"/>
    <n v="298.77162599996097"/>
    <n v="0.29999999999999866"/>
    <m/>
  </r>
  <r>
    <s v="INV1041"/>
    <x v="1"/>
    <x v="1"/>
    <n v="1815"/>
    <x v="0"/>
    <x v="1"/>
    <x v="4"/>
    <x v="33"/>
    <n v="206.48687419602399"/>
    <n v="9"/>
    <x v="40"/>
    <x v="40"/>
    <s v="Credit Card"/>
    <n v="1300.8673074349531"/>
    <n v="0.30000000000000049"/>
    <m/>
  </r>
  <r>
    <s v="INV1042"/>
    <x v="0"/>
    <x v="0"/>
    <n v="1172"/>
    <x v="0"/>
    <x v="1"/>
    <x v="5"/>
    <x v="34"/>
    <n v="30.912216949536202"/>
    <n v="7"/>
    <x v="41"/>
    <x v="41"/>
    <s v="Cash"/>
    <n v="151.46986305272702"/>
    <n v="0.30000000000000043"/>
    <m/>
  </r>
  <r>
    <s v="INV1043"/>
    <x v="0"/>
    <x v="0"/>
    <n v="1233"/>
    <x v="1"/>
    <x v="1"/>
    <x v="3"/>
    <x v="35"/>
    <n v="69.566408458628501"/>
    <n v="3"/>
    <x v="42"/>
    <x v="42"/>
    <s v="Cash"/>
    <n v="146.08945776311938"/>
    <n v="0.30000000000000054"/>
    <m/>
  </r>
  <r>
    <s v="INV1044"/>
    <x v="1"/>
    <x v="1"/>
    <n v="1792"/>
    <x v="0"/>
    <x v="0"/>
    <x v="3"/>
    <x v="33"/>
    <n v="120.61790200986"/>
    <n v="3"/>
    <x v="43"/>
    <x v="43"/>
    <s v="E-Wallet"/>
    <n v="253.297594220706"/>
    <n v="0.3"/>
    <m/>
  </r>
  <r>
    <s v="INV1045"/>
    <x v="1"/>
    <x v="2"/>
    <n v="1792"/>
    <x v="0"/>
    <x v="1"/>
    <x v="1"/>
    <x v="36"/>
    <n v="294.79436573462903"/>
    <n v="6"/>
    <x v="44"/>
    <x v="44"/>
    <s v="Credit Card"/>
    <n v="1238.136336085438"/>
    <n v="0.30000000000000054"/>
    <m/>
  </r>
  <r>
    <s v="INV1046"/>
    <x v="0"/>
    <x v="2"/>
    <n v="2426"/>
    <x v="0"/>
    <x v="1"/>
    <x v="4"/>
    <x v="19"/>
    <n v="237.60992865807501"/>
    <n v="6"/>
    <x v="45"/>
    <x v="45"/>
    <s v="Cash"/>
    <n v="997.96170036391504"/>
    <n v="0.3"/>
    <m/>
  </r>
  <r>
    <s v="INV1047"/>
    <x v="2"/>
    <x v="2"/>
    <n v="2062"/>
    <x v="0"/>
    <x v="0"/>
    <x v="1"/>
    <x v="14"/>
    <n v="222.71115648271001"/>
    <n v="4"/>
    <x v="46"/>
    <x v="46"/>
    <s v="E-Wallet"/>
    <n v="623.59123815158796"/>
    <n v="0.3000000000000001"/>
    <m/>
  </r>
  <r>
    <s v="INV1048"/>
    <x v="1"/>
    <x v="1"/>
    <n v="1118"/>
    <x v="0"/>
    <x v="1"/>
    <x v="5"/>
    <x v="33"/>
    <n v="43.695377392379299"/>
    <n v="9"/>
    <x v="47"/>
    <x v="47"/>
    <s v="Credit Card"/>
    <n v="275.28087757199"/>
    <n v="0.29999999999999949"/>
    <m/>
  </r>
  <r>
    <s v="INV1049"/>
    <x v="2"/>
    <x v="0"/>
    <n v="1334"/>
    <x v="0"/>
    <x v="0"/>
    <x v="4"/>
    <x v="37"/>
    <n v="236.488809148347"/>
    <n v="4"/>
    <x v="48"/>
    <x v="48"/>
    <s v="Cash"/>
    <n v="662.16866561537313"/>
    <n v="0.29999999999999988"/>
    <m/>
  </r>
  <r>
    <s v="INV1050"/>
    <x v="2"/>
    <x v="2"/>
    <n v="2359"/>
    <x v="0"/>
    <x v="1"/>
    <x v="2"/>
    <x v="38"/>
    <n v="237.72795533964401"/>
    <n v="9"/>
    <x v="49"/>
    <x v="49"/>
    <s v="Credit Card"/>
    <n v="1497.6861186397514"/>
    <n v="0.30000000000000082"/>
    <m/>
  </r>
  <r>
    <s v="INV1051"/>
    <x v="2"/>
    <x v="2"/>
    <n v="2097"/>
    <x v="0"/>
    <x v="0"/>
    <x v="0"/>
    <x v="2"/>
    <n v="184.319781731055"/>
    <n v="4"/>
    <x v="50"/>
    <x v="50"/>
    <s v="Credit Card"/>
    <n v="516.09538884695394"/>
    <n v="0.3000000000000001"/>
    <m/>
  </r>
  <r>
    <s v="INV1052"/>
    <x v="1"/>
    <x v="1"/>
    <n v="2214"/>
    <x v="1"/>
    <x v="0"/>
    <x v="2"/>
    <x v="35"/>
    <n v="297.20491677952703"/>
    <n v="2"/>
    <x v="51"/>
    <x v="51"/>
    <s v="Cash"/>
    <n v="416.08688349133899"/>
    <n v="0.2999999999999991"/>
    <m/>
  </r>
  <r>
    <s v="INV1053"/>
    <x v="2"/>
    <x v="2"/>
    <n v="1323"/>
    <x v="1"/>
    <x v="1"/>
    <x v="5"/>
    <x v="39"/>
    <n v="104.32363271812"/>
    <n v="2"/>
    <x v="52"/>
    <x v="52"/>
    <s v="Cash"/>
    <n v="146.053085805368"/>
    <n v="0.3"/>
    <m/>
  </r>
  <r>
    <s v="INV1054"/>
    <x v="1"/>
    <x v="1"/>
    <n v="2010"/>
    <x v="0"/>
    <x v="1"/>
    <x v="4"/>
    <x v="34"/>
    <n v="282.96900999013599"/>
    <n v="5"/>
    <x v="53"/>
    <x v="53"/>
    <s v="Cash"/>
    <n v="990.3915349654751"/>
    <n v="0.30000000000000066"/>
    <m/>
  </r>
  <r>
    <s v="INV1055"/>
    <x v="2"/>
    <x v="0"/>
    <n v="2170"/>
    <x v="1"/>
    <x v="1"/>
    <x v="5"/>
    <x v="18"/>
    <n v="275.27202333738597"/>
    <n v="4"/>
    <x v="54"/>
    <x v="54"/>
    <s v="Credit Card"/>
    <n v="770.76166534467711"/>
    <n v="0.30000000000000082"/>
    <m/>
  </r>
  <r>
    <s v="INV1056"/>
    <x v="0"/>
    <x v="1"/>
    <n v="1283"/>
    <x v="0"/>
    <x v="0"/>
    <x v="0"/>
    <x v="27"/>
    <n v="13.329391327319501"/>
    <n v="7"/>
    <x v="55"/>
    <x v="55"/>
    <s v="Credit Card"/>
    <n v="65.314017503865898"/>
    <n v="0.30000000000000004"/>
    <m/>
  </r>
  <r>
    <s v="INV1057"/>
    <x v="0"/>
    <x v="1"/>
    <n v="1212"/>
    <x v="0"/>
    <x v="0"/>
    <x v="3"/>
    <x v="40"/>
    <n v="140.533792677695"/>
    <n v="5"/>
    <x v="56"/>
    <x v="56"/>
    <s v="E-Wallet"/>
    <n v="491.86827437193392"/>
    <n v="0.29999999999999893"/>
    <m/>
  </r>
  <r>
    <s v="INV1058"/>
    <x v="1"/>
    <x v="1"/>
    <n v="1928"/>
    <x v="1"/>
    <x v="0"/>
    <x v="3"/>
    <x v="0"/>
    <n v="293.36022758495602"/>
    <n v="6"/>
    <x v="57"/>
    <x v="57"/>
    <s v="Credit Card"/>
    <n v="1232.1129558568091"/>
    <n v="0.3000000000000011"/>
    <m/>
  </r>
  <r>
    <s v="INV1059"/>
    <x v="0"/>
    <x v="1"/>
    <n v="1751"/>
    <x v="0"/>
    <x v="1"/>
    <x v="5"/>
    <x v="41"/>
    <n v="39.905195098341899"/>
    <n v="4"/>
    <x v="58"/>
    <x v="58"/>
    <s v="Cash"/>
    <n v="111.73454627535671"/>
    <n v="0.30000000000000121"/>
    <m/>
  </r>
  <r>
    <s v="INV1060"/>
    <x v="0"/>
    <x v="0"/>
    <n v="2417"/>
    <x v="0"/>
    <x v="0"/>
    <x v="1"/>
    <x v="42"/>
    <n v="168.85756137116201"/>
    <n v="2"/>
    <x v="59"/>
    <x v="59"/>
    <s v="Credit Card"/>
    <n v="236.40058591962799"/>
    <n v="0.29999999999999855"/>
    <m/>
  </r>
  <r>
    <s v="INV1061"/>
    <x v="2"/>
    <x v="0"/>
    <n v="1338"/>
    <x v="0"/>
    <x v="0"/>
    <x v="4"/>
    <x v="43"/>
    <n v="293.89767704192002"/>
    <n v="9"/>
    <x v="60"/>
    <x v="60"/>
    <s v="E-Wallet"/>
    <n v="1851.5553653640959"/>
    <n v="0.30000000000000004"/>
    <m/>
  </r>
  <r>
    <s v="INV1062"/>
    <x v="1"/>
    <x v="2"/>
    <n v="2045"/>
    <x v="0"/>
    <x v="1"/>
    <x v="4"/>
    <x v="44"/>
    <n v="171.09367299069899"/>
    <n v="7"/>
    <x v="61"/>
    <x v="61"/>
    <s v="E-Wallet"/>
    <n v="838.35899765442207"/>
    <n v="0.30000000000000082"/>
    <m/>
  </r>
  <r>
    <s v="INV1063"/>
    <x v="2"/>
    <x v="0"/>
    <n v="1104"/>
    <x v="1"/>
    <x v="0"/>
    <x v="3"/>
    <x v="3"/>
    <n v="65.046437861925199"/>
    <n v="4"/>
    <x v="62"/>
    <x v="62"/>
    <s v="Cash"/>
    <n v="182.1300260133898"/>
    <n v="0.30000000000000077"/>
    <m/>
  </r>
  <r>
    <s v="INV1064"/>
    <x v="2"/>
    <x v="0"/>
    <n v="2489"/>
    <x v="0"/>
    <x v="0"/>
    <x v="2"/>
    <x v="35"/>
    <n v="178.833136726851"/>
    <n v="3"/>
    <x v="63"/>
    <x v="63"/>
    <s v="Cash"/>
    <n v="375.54958712638802"/>
    <n v="0.29999999999999832"/>
    <m/>
  </r>
  <r>
    <s v="INV1065"/>
    <x v="2"/>
    <x v="2"/>
    <n v="2482"/>
    <x v="0"/>
    <x v="1"/>
    <x v="0"/>
    <x v="41"/>
    <n v="69.287766445368504"/>
    <n v="3"/>
    <x v="64"/>
    <x v="64"/>
    <s v="E-Wallet"/>
    <n v="145.50430953527331"/>
    <n v="0.30000000000000093"/>
    <m/>
  </r>
  <r>
    <s v="INV1066"/>
    <x v="2"/>
    <x v="0"/>
    <n v="2455"/>
    <x v="0"/>
    <x v="0"/>
    <x v="2"/>
    <x v="5"/>
    <n v="160.71423623940001"/>
    <n v="9"/>
    <x v="65"/>
    <x v="65"/>
    <s v="E-Wallet"/>
    <n v="1012.499688308219"/>
    <n v="0.30000000000000071"/>
    <m/>
  </r>
  <r>
    <s v="INV1067"/>
    <x v="2"/>
    <x v="1"/>
    <n v="1769"/>
    <x v="1"/>
    <x v="1"/>
    <x v="2"/>
    <x v="45"/>
    <n v="31.472243194580901"/>
    <n v="5"/>
    <x v="66"/>
    <x v="66"/>
    <s v="E-Wallet"/>
    <n v="110.1528511810327"/>
    <n v="0.30000000000000066"/>
    <m/>
  </r>
  <r>
    <s v="INV1068"/>
    <x v="2"/>
    <x v="1"/>
    <n v="1715"/>
    <x v="0"/>
    <x v="1"/>
    <x v="5"/>
    <x v="32"/>
    <n v="185.589974072177"/>
    <n v="3"/>
    <x v="67"/>
    <x v="67"/>
    <s v="Cash"/>
    <n v="389.73894555157301"/>
    <n v="0.29999999999999888"/>
    <m/>
  </r>
  <r>
    <s v="INV1069"/>
    <x v="2"/>
    <x v="2"/>
    <n v="1762"/>
    <x v="1"/>
    <x v="1"/>
    <x v="3"/>
    <x v="46"/>
    <n v="159.869082347165"/>
    <n v="5"/>
    <x v="68"/>
    <x v="68"/>
    <s v="E-Wallet"/>
    <n v="559.54178821508094"/>
    <n v="0.29999999999999916"/>
    <m/>
  </r>
  <r>
    <s v="INV1070"/>
    <x v="1"/>
    <x v="2"/>
    <n v="2244"/>
    <x v="1"/>
    <x v="1"/>
    <x v="3"/>
    <x v="35"/>
    <n v="224.646796940824"/>
    <n v="2"/>
    <x v="69"/>
    <x v="69"/>
    <s v="E-Wallet"/>
    <n v="314.50551571715403"/>
    <n v="0.29999999999999905"/>
    <m/>
  </r>
  <r>
    <s v="INV1071"/>
    <x v="0"/>
    <x v="2"/>
    <n v="1378"/>
    <x v="0"/>
    <x v="1"/>
    <x v="3"/>
    <x v="47"/>
    <n v="192.90313663604701"/>
    <n v="4"/>
    <x v="70"/>
    <x v="70"/>
    <s v="Cash"/>
    <n v="540.12878258093292"/>
    <n v="0.3000000000000001"/>
    <m/>
  </r>
  <r>
    <s v="INV1072"/>
    <x v="2"/>
    <x v="1"/>
    <n v="2245"/>
    <x v="0"/>
    <x v="0"/>
    <x v="5"/>
    <x v="48"/>
    <n v="169.385817873919"/>
    <n v="2"/>
    <x v="71"/>
    <x v="71"/>
    <s v="Credit Card"/>
    <n v="237.14014502348698"/>
    <n v="0.29999999999999888"/>
    <m/>
  </r>
  <r>
    <s v="INV1073"/>
    <x v="2"/>
    <x v="0"/>
    <n v="2281"/>
    <x v="1"/>
    <x v="0"/>
    <x v="1"/>
    <x v="49"/>
    <n v="210.03586628195501"/>
    <n v="2"/>
    <x v="72"/>
    <x v="72"/>
    <s v="Credit Card"/>
    <n v="294.05021279473704"/>
    <n v="0.29999999999999993"/>
    <m/>
  </r>
  <r>
    <s v="INV1074"/>
    <x v="2"/>
    <x v="1"/>
    <n v="1712"/>
    <x v="0"/>
    <x v="1"/>
    <x v="2"/>
    <x v="43"/>
    <n v="51.743154935946897"/>
    <n v="8"/>
    <x v="73"/>
    <x v="73"/>
    <s v="E-Wallet"/>
    <n v="289.76166764130301"/>
    <n v="0.29999999999999877"/>
    <m/>
  </r>
  <r>
    <s v="INV1075"/>
    <x v="2"/>
    <x v="2"/>
    <n v="2390"/>
    <x v="1"/>
    <x v="1"/>
    <x v="5"/>
    <x v="50"/>
    <n v="182.65430176499501"/>
    <n v="1"/>
    <x v="74"/>
    <x v="74"/>
    <s v="Credit Card"/>
    <n v="127.85801123549652"/>
    <n v="0.29999999999999993"/>
    <m/>
  </r>
  <r>
    <s v="INV1076"/>
    <x v="2"/>
    <x v="0"/>
    <n v="2372"/>
    <x v="1"/>
    <x v="0"/>
    <x v="4"/>
    <x v="46"/>
    <n v="59.912074818605497"/>
    <n v="7"/>
    <x v="75"/>
    <x v="75"/>
    <s v="Credit Card"/>
    <n v="293.56916661116702"/>
    <n v="0.29999999999999905"/>
    <m/>
  </r>
  <r>
    <s v="INV1077"/>
    <x v="2"/>
    <x v="0"/>
    <n v="1224"/>
    <x v="0"/>
    <x v="1"/>
    <x v="0"/>
    <x v="51"/>
    <n v="278.40144027704503"/>
    <n v="5"/>
    <x v="76"/>
    <x v="76"/>
    <s v="Credit Card"/>
    <n v="974.40504096965196"/>
    <n v="0.30000000000000149"/>
    <m/>
  </r>
  <r>
    <s v="INV1078"/>
    <x v="0"/>
    <x v="1"/>
    <n v="1737"/>
    <x v="0"/>
    <x v="1"/>
    <x v="1"/>
    <x v="52"/>
    <n v="29.816890405225202"/>
    <n v="8"/>
    <x v="77"/>
    <x v="77"/>
    <s v="Credit Card"/>
    <n v="166.9745862692605"/>
    <n v="0.30000000000000082"/>
    <m/>
  </r>
  <r>
    <s v="INV1079"/>
    <x v="0"/>
    <x v="2"/>
    <n v="1235"/>
    <x v="1"/>
    <x v="1"/>
    <x v="4"/>
    <x v="37"/>
    <n v="134.80867741033001"/>
    <n v="1"/>
    <x v="78"/>
    <x v="78"/>
    <s v="E-Wallet"/>
    <n v="94.366074187231007"/>
    <n v="0.3"/>
    <m/>
  </r>
  <r>
    <s v="INV1080"/>
    <x v="2"/>
    <x v="1"/>
    <n v="1182"/>
    <x v="1"/>
    <x v="0"/>
    <x v="2"/>
    <x v="53"/>
    <n v="211.78126852007901"/>
    <n v="7"/>
    <x v="79"/>
    <x v="79"/>
    <s v="Credit Card"/>
    <n v="1037.7282157483851"/>
    <n v="0.3"/>
    <m/>
  </r>
  <r>
    <s v="INV1081"/>
    <x v="0"/>
    <x v="0"/>
    <n v="1711"/>
    <x v="1"/>
    <x v="0"/>
    <x v="3"/>
    <x v="54"/>
    <n v="142.82644138379499"/>
    <n v="5"/>
    <x v="80"/>
    <x v="80"/>
    <s v="Credit Card"/>
    <n v="499.89254484328308"/>
    <n v="0.29999999999999921"/>
    <m/>
  </r>
  <r>
    <s v="INV1082"/>
    <x v="1"/>
    <x v="1"/>
    <n v="1443"/>
    <x v="1"/>
    <x v="1"/>
    <x v="2"/>
    <x v="15"/>
    <n v="36.707623437541599"/>
    <n v="4"/>
    <x v="81"/>
    <x v="81"/>
    <s v="Cash"/>
    <n v="102.78134562511599"/>
    <n v="0.30000000000000143"/>
    <m/>
  </r>
  <r>
    <s v="INV1083"/>
    <x v="2"/>
    <x v="1"/>
    <n v="1622"/>
    <x v="0"/>
    <x v="1"/>
    <x v="5"/>
    <x v="13"/>
    <n v="170.47991467674501"/>
    <n v="7"/>
    <x v="82"/>
    <x v="82"/>
    <s v="E-Wallet"/>
    <n v="835.35158191604614"/>
    <n v="0.30000000000000077"/>
    <m/>
  </r>
  <r>
    <s v="INV1084"/>
    <x v="1"/>
    <x v="2"/>
    <n v="2029"/>
    <x v="0"/>
    <x v="0"/>
    <x v="0"/>
    <x v="55"/>
    <n v="196.073253559932"/>
    <n v="2"/>
    <x v="83"/>
    <x v="83"/>
    <s v="Cash"/>
    <n v="274.50255498390601"/>
    <n v="0.29999999999999871"/>
    <m/>
  </r>
  <r>
    <s v="INV1085"/>
    <x v="1"/>
    <x v="2"/>
    <n v="2259"/>
    <x v="0"/>
    <x v="0"/>
    <x v="5"/>
    <x v="26"/>
    <n v="214.099770187247"/>
    <n v="1"/>
    <x v="84"/>
    <x v="84"/>
    <s v="Cash"/>
    <n v="149.86983913107292"/>
    <n v="0.29999999999999993"/>
    <m/>
  </r>
  <r>
    <s v="INV1086"/>
    <x v="2"/>
    <x v="0"/>
    <n v="2150"/>
    <x v="0"/>
    <x v="1"/>
    <x v="1"/>
    <x v="56"/>
    <n v="118.2453461942"/>
    <n v="1"/>
    <x v="85"/>
    <x v="85"/>
    <s v="E-Wallet"/>
    <n v="82.77174233593999"/>
    <n v="0.30000000000000004"/>
    <m/>
  </r>
  <r>
    <s v="INV1087"/>
    <x v="0"/>
    <x v="1"/>
    <n v="2127"/>
    <x v="0"/>
    <x v="1"/>
    <x v="1"/>
    <x v="57"/>
    <n v="173.46139159834101"/>
    <n v="1"/>
    <x v="86"/>
    <x v="86"/>
    <s v="Credit Card"/>
    <n v="121.42297411883871"/>
    <n v="0.3"/>
    <m/>
  </r>
  <r>
    <s v="INV1088"/>
    <x v="1"/>
    <x v="1"/>
    <n v="1748"/>
    <x v="1"/>
    <x v="0"/>
    <x v="0"/>
    <x v="23"/>
    <n v="140.699077732284"/>
    <n v="5"/>
    <x v="87"/>
    <x v="87"/>
    <s v="Cash"/>
    <n v="492.44677206299605"/>
    <n v="0.3000000000000001"/>
    <m/>
  </r>
  <r>
    <s v="INV1089"/>
    <x v="2"/>
    <x v="1"/>
    <n v="1154"/>
    <x v="0"/>
    <x v="0"/>
    <x v="4"/>
    <x v="57"/>
    <n v="204.89625123815301"/>
    <n v="7"/>
    <x v="88"/>
    <x v="88"/>
    <s v="E-Wallet"/>
    <n v="1003.991631066948"/>
    <n v="0.30000000000000071"/>
    <m/>
  </r>
  <r>
    <s v="INV1090"/>
    <x v="1"/>
    <x v="0"/>
    <n v="1256"/>
    <x v="0"/>
    <x v="0"/>
    <x v="4"/>
    <x v="57"/>
    <n v="179.23152052419701"/>
    <n v="2"/>
    <x v="89"/>
    <x v="89"/>
    <s v="Credit Card"/>
    <n v="250.92412873387602"/>
    <n v="0.29999999999999943"/>
    <m/>
  </r>
  <r>
    <s v="INV1091"/>
    <x v="1"/>
    <x v="0"/>
    <n v="1234"/>
    <x v="0"/>
    <x v="1"/>
    <x v="1"/>
    <x v="58"/>
    <n v="162.46930367214901"/>
    <n v="8"/>
    <x v="90"/>
    <x v="90"/>
    <s v="E-Wallet"/>
    <n v="909.82810056403309"/>
    <n v="0.29999999999999993"/>
    <m/>
  </r>
  <r>
    <s v="INV1092"/>
    <x v="1"/>
    <x v="2"/>
    <n v="1499"/>
    <x v="0"/>
    <x v="0"/>
    <x v="1"/>
    <x v="49"/>
    <n v="82.362066383092099"/>
    <n v="4"/>
    <x v="91"/>
    <x v="91"/>
    <s v="Cash"/>
    <n v="230.6137858726575"/>
    <n v="0.30000000000000027"/>
    <m/>
  </r>
  <r>
    <s v="INV1093"/>
    <x v="1"/>
    <x v="2"/>
    <n v="1288"/>
    <x v="0"/>
    <x v="1"/>
    <x v="3"/>
    <x v="46"/>
    <n v="10.585370146987801"/>
    <n v="3"/>
    <x v="92"/>
    <x v="92"/>
    <s v="Credit Card"/>
    <n v="22.229277308674448"/>
    <n v="0.3000000000000001"/>
    <m/>
  </r>
  <r>
    <s v="INV1094"/>
    <x v="0"/>
    <x v="2"/>
    <n v="1509"/>
    <x v="1"/>
    <x v="0"/>
    <x v="4"/>
    <x v="59"/>
    <n v="60.483685840314401"/>
    <n v="8"/>
    <x v="93"/>
    <x v="93"/>
    <s v="Credit Card"/>
    <n v="338.70864070576101"/>
    <n v="0.29999999999999893"/>
    <m/>
  </r>
  <r>
    <s v="INV1095"/>
    <x v="1"/>
    <x v="1"/>
    <n v="1708"/>
    <x v="1"/>
    <x v="0"/>
    <x v="0"/>
    <x v="60"/>
    <n v="43.949152013008899"/>
    <n v="2"/>
    <x v="94"/>
    <x v="94"/>
    <s v="E-Wallet"/>
    <n v="61.528812818212501"/>
    <n v="0.29999999999999949"/>
    <m/>
  </r>
  <r>
    <s v="INV1096"/>
    <x v="1"/>
    <x v="1"/>
    <n v="1784"/>
    <x v="1"/>
    <x v="0"/>
    <x v="4"/>
    <x v="61"/>
    <n v="140.23457605317401"/>
    <n v="3"/>
    <x v="95"/>
    <x v="95"/>
    <s v="Credit Card"/>
    <n v="294.49260971166598"/>
    <n v="0.30000000000000027"/>
    <m/>
  </r>
  <r>
    <s v="INV1097"/>
    <x v="1"/>
    <x v="2"/>
    <n v="1893"/>
    <x v="0"/>
    <x v="0"/>
    <x v="3"/>
    <x v="5"/>
    <n v="187.55486372093401"/>
    <n v="3"/>
    <x v="96"/>
    <x v="96"/>
    <s v="Cash"/>
    <n v="393.86521381396295"/>
    <n v="0.29999999999999966"/>
    <m/>
  </r>
  <r>
    <s v="INV1098"/>
    <x v="0"/>
    <x v="1"/>
    <n v="1775"/>
    <x v="1"/>
    <x v="1"/>
    <x v="5"/>
    <x v="55"/>
    <n v="71.794652518594305"/>
    <n v="1"/>
    <x v="97"/>
    <x v="97"/>
    <s v="Cash"/>
    <n v="50.256256763016005"/>
    <n v="0.3000000000000001"/>
    <m/>
  </r>
  <r>
    <s v="INV1099"/>
    <x v="1"/>
    <x v="2"/>
    <n v="1297"/>
    <x v="1"/>
    <x v="1"/>
    <x v="1"/>
    <x v="35"/>
    <n v="282.32655783048398"/>
    <n v="6"/>
    <x v="98"/>
    <x v="98"/>
    <s v="Cash"/>
    <n v="1185.7715428880288"/>
    <n v="0.30000000000000071"/>
    <m/>
  </r>
  <r>
    <s v="INV1100"/>
    <x v="1"/>
    <x v="0"/>
    <n v="1136"/>
    <x v="0"/>
    <x v="0"/>
    <x v="1"/>
    <x v="62"/>
    <n v="11.9378174749274"/>
    <n v="2"/>
    <x v="99"/>
    <x v="99"/>
    <s v="E-Wallet"/>
    <n v="16.712944464898428"/>
    <n v="0.30000000000000004"/>
    <m/>
  </r>
  <r>
    <s v="INV1101"/>
    <x v="0"/>
    <x v="2"/>
    <n v="1375"/>
    <x v="0"/>
    <x v="1"/>
    <x v="3"/>
    <x v="8"/>
    <n v="233.96729439794899"/>
    <n v="1"/>
    <x v="100"/>
    <x v="100"/>
    <s v="Credit Card"/>
    <n v="163.7771060785642"/>
    <n v="0.30000000000000038"/>
    <m/>
  </r>
  <r>
    <s v="INV1102"/>
    <x v="0"/>
    <x v="0"/>
    <n v="1086"/>
    <x v="0"/>
    <x v="0"/>
    <x v="0"/>
    <x v="49"/>
    <n v="191.30938316382799"/>
    <n v="2"/>
    <x v="101"/>
    <x v="101"/>
    <s v="Credit Card"/>
    <n v="267.83313642935997"/>
    <n v="0.29999999999999793"/>
    <m/>
  </r>
  <r>
    <s v="INV1103"/>
    <x v="0"/>
    <x v="1"/>
    <n v="2442"/>
    <x v="1"/>
    <x v="0"/>
    <x v="1"/>
    <x v="9"/>
    <n v="118.330892303827"/>
    <n v="6"/>
    <x v="102"/>
    <x v="102"/>
    <s v="Credit Card"/>
    <n v="496.98974767607695"/>
    <n v="0.29999999999999893"/>
    <m/>
  </r>
  <r>
    <s v="INV1104"/>
    <x v="1"/>
    <x v="2"/>
    <n v="2222"/>
    <x v="1"/>
    <x v="0"/>
    <x v="2"/>
    <x v="4"/>
    <n v="24.6417938795982"/>
    <n v="4"/>
    <x v="103"/>
    <x v="103"/>
    <s v="Cash"/>
    <n v="68.997022862875198"/>
    <n v="0.29999999999999971"/>
    <m/>
  </r>
  <r>
    <s v="INV1105"/>
    <x v="0"/>
    <x v="1"/>
    <n v="2486"/>
    <x v="0"/>
    <x v="0"/>
    <x v="1"/>
    <x v="60"/>
    <n v="191.97110581744101"/>
    <n v="6"/>
    <x v="104"/>
    <x v="104"/>
    <s v="Credit Card"/>
    <n v="806.27864443324711"/>
    <n v="0.30000000000000082"/>
    <m/>
  </r>
  <r>
    <s v="INV1106"/>
    <x v="0"/>
    <x v="0"/>
    <n v="1436"/>
    <x v="0"/>
    <x v="1"/>
    <x v="2"/>
    <x v="49"/>
    <n v="121.827918731037"/>
    <n v="9"/>
    <x v="105"/>
    <x v="105"/>
    <s v="Cash"/>
    <n v="767.51588800553805"/>
    <n v="0.29999999999999993"/>
    <m/>
  </r>
  <r>
    <s v="INV1107"/>
    <x v="1"/>
    <x v="0"/>
    <n v="2333"/>
    <x v="1"/>
    <x v="0"/>
    <x v="3"/>
    <x v="42"/>
    <n v="281.517470429833"/>
    <n v="8"/>
    <x v="106"/>
    <x v="106"/>
    <s v="Credit Card"/>
    <n v="1576.4978344070601"/>
    <n v="0.30000000000000082"/>
    <m/>
  </r>
  <r>
    <s v="INV1108"/>
    <x v="0"/>
    <x v="0"/>
    <n v="2304"/>
    <x v="1"/>
    <x v="0"/>
    <x v="3"/>
    <x v="57"/>
    <n v="167.177121718032"/>
    <n v="1"/>
    <x v="107"/>
    <x v="107"/>
    <s v="Cash"/>
    <n v="117.0239852026224"/>
    <n v="0.3"/>
    <m/>
  </r>
  <r>
    <s v="INV1109"/>
    <x v="1"/>
    <x v="1"/>
    <n v="2346"/>
    <x v="0"/>
    <x v="1"/>
    <x v="1"/>
    <x v="63"/>
    <n v="282.49893827511698"/>
    <n v="8"/>
    <x v="108"/>
    <x v="108"/>
    <s v="Credit Card"/>
    <n v="1581.994054340649"/>
    <n v="0.30000000000000088"/>
    <m/>
  </r>
  <r>
    <s v="INV1110"/>
    <x v="2"/>
    <x v="1"/>
    <n v="1763"/>
    <x v="0"/>
    <x v="0"/>
    <x v="4"/>
    <x v="56"/>
    <n v="73.940271107258098"/>
    <n v="9"/>
    <x v="109"/>
    <x v="109"/>
    <s v="E-Wallet"/>
    <n v="465.82370797572605"/>
    <n v="0.3000000000000001"/>
    <m/>
  </r>
  <r>
    <s v="INV1111"/>
    <x v="0"/>
    <x v="1"/>
    <n v="1701"/>
    <x v="1"/>
    <x v="0"/>
    <x v="2"/>
    <x v="64"/>
    <n v="220.460514005589"/>
    <n v="6"/>
    <x v="110"/>
    <x v="110"/>
    <s v="E-Wallet"/>
    <n v="925.93415882346903"/>
    <n v="0.30000000000000149"/>
    <m/>
  </r>
  <r>
    <s v="INV1112"/>
    <x v="2"/>
    <x v="1"/>
    <n v="1941"/>
    <x v="0"/>
    <x v="0"/>
    <x v="0"/>
    <x v="58"/>
    <n v="189.00221604613"/>
    <n v="5"/>
    <x v="111"/>
    <x v="111"/>
    <s v="Cash"/>
    <n v="661.50775616145711"/>
    <n v="0.29999999999999927"/>
    <m/>
  </r>
  <r>
    <s v="INV1113"/>
    <x v="1"/>
    <x v="0"/>
    <n v="1151"/>
    <x v="1"/>
    <x v="1"/>
    <x v="1"/>
    <x v="58"/>
    <n v="224.42838665107999"/>
    <n v="6"/>
    <x v="112"/>
    <x v="112"/>
    <s v="Cash"/>
    <n v="942.5992239345361"/>
    <n v="0.3"/>
    <m/>
  </r>
  <r>
    <s v="INV1114"/>
    <x v="0"/>
    <x v="0"/>
    <n v="2325"/>
    <x v="1"/>
    <x v="0"/>
    <x v="0"/>
    <x v="65"/>
    <n v="72.253680552035604"/>
    <n v="6"/>
    <x v="113"/>
    <x v="113"/>
    <s v="Credit Card"/>
    <n v="303.465458318549"/>
    <n v="0.30000000000000021"/>
    <m/>
  </r>
  <r>
    <s v="INV1115"/>
    <x v="1"/>
    <x v="2"/>
    <n v="2301"/>
    <x v="1"/>
    <x v="1"/>
    <x v="1"/>
    <x v="44"/>
    <n v="202.84840970895399"/>
    <n v="9"/>
    <x v="114"/>
    <x v="114"/>
    <s v="Credit Card"/>
    <n v="1277.944981166404"/>
    <n v="0.30000000000000115"/>
    <m/>
  </r>
  <r>
    <s v="INV1116"/>
    <x v="2"/>
    <x v="2"/>
    <n v="2031"/>
    <x v="1"/>
    <x v="0"/>
    <x v="4"/>
    <x v="66"/>
    <n v="154.43171398649201"/>
    <n v="4"/>
    <x v="115"/>
    <x v="115"/>
    <s v="E-Wallet"/>
    <n v="432.40879916217807"/>
    <n v="0.29999999999999932"/>
    <m/>
  </r>
  <r>
    <s v="INV1117"/>
    <x v="1"/>
    <x v="1"/>
    <n v="1806"/>
    <x v="0"/>
    <x v="0"/>
    <x v="4"/>
    <x v="67"/>
    <n v="225.419242722831"/>
    <n v="2"/>
    <x v="116"/>
    <x v="116"/>
    <s v="Credit Card"/>
    <n v="315.58693981196404"/>
    <n v="0.30000000000000016"/>
    <m/>
  </r>
  <r>
    <s v="INV1118"/>
    <x v="0"/>
    <x v="0"/>
    <n v="1234"/>
    <x v="0"/>
    <x v="1"/>
    <x v="4"/>
    <x v="14"/>
    <n v="104.84294680402699"/>
    <n v="9"/>
    <x v="117"/>
    <x v="117"/>
    <s v="Cash"/>
    <n v="660.51056486537107"/>
    <n v="0.29999999999999977"/>
    <m/>
  </r>
  <r>
    <s v="INV1119"/>
    <x v="0"/>
    <x v="0"/>
    <n v="1674"/>
    <x v="1"/>
    <x v="0"/>
    <x v="5"/>
    <x v="68"/>
    <n v="268.11653738492299"/>
    <n v="2"/>
    <x v="118"/>
    <x v="118"/>
    <s v="Cash"/>
    <n v="375.36315233889297"/>
    <n v="0.29999999999999855"/>
    <m/>
  </r>
  <r>
    <s v="INV1120"/>
    <x v="2"/>
    <x v="0"/>
    <n v="1560"/>
    <x v="1"/>
    <x v="0"/>
    <x v="4"/>
    <x v="49"/>
    <n v="34.447381237291602"/>
    <n v="9"/>
    <x v="119"/>
    <x v="119"/>
    <s v="Cash"/>
    <n v="217.01850179493672"/>
    <n v="0.30000000000000027"/>
    <m/>
  </r>
  <r>
    <s v="INV1121"/>
    <x v="1"/>
    <x v="2"/>
    <n v="2325"/>
    <x v="1"/>
    <x v="1"/>
    <x v="3"/>
    <x v="28"/>
    <n v="244.084902449444"/>
    <n v="2"/>
    <x v="120"/>
    <x v="120"/>
    <s v="Cash"/>
    <n v="341.71886342922301"/>
    <n v="0.2999999999999986"/>
    <m/>
  </r>
  <r>
    <s v="INV1122"/>
    <x v="0"/>
    <x v="2"/>
    <n v="1037"/>
    <x v="1"/>
    <x v="1"/>
    <x v="3"/>
    <x v="69"/>
    <n v="259.782691486376"/>
    <n v="8"/>
    <x v="121"/>
    <x v="121"/>
    <s v="Cash"/>
    <n v="1454.7830723237066"/>
    <n v="0.3000000000000001"/>
    <m/>
  </r>
  <r>
    <s v="INV1123"/>
    <x v="2"/>
    <x v="0"/>
    <n v="2159"/>
    <x v="1"/>
    <x v="1"/>
    <x v="5"/>
    <x v="10"/>
    <n v="247.00317029637799"/>
    <n v="9"/>
    <x v="122"/>
    <x v="122"/>
    <s v="E-Wallet"/>
    <n v="1556.1199728671791"/>
    <n v="0.30000000000000049"/>
    <m/>
  </r>
  <r>
    <s v="INV1124"/>
    <x v="0"/>
    <x v="0"/>
    <n v="1821"/>
    <x v="0"/>
    <x v="1"/>
    <x v="2"/>
    <x v="65"/>
    <n v="158.69065433591501"/>
    <n v="9"/>
    <x v="123"/>
    <x v="123"/>
    <s v="E-Wallet"/>
    <n v="999.75112231625985"/>
    <n v="0.30000000000000077"/>
    <m/>
  </r>
  <r>
    <s v="INV1125"/>
    <x v="0"/>
    <x v="0"/>
    <n v="1420"/>
    <x v="0"/>
    <x v="1"/>
    <x v="0"/>
    <x v="18"/>
    <n v="137.13164420891999"/>
    <n v="9"/>
    <x v="124"/>
    <x v="124"/>
    <s v="Cash"/>
    <n v="863.92935851619404"/>
    <n v="0.3000000000000016"/>
    <m/>
  </r>
  <r>
    <s v="INV1126"/>
    <x v="1"/>
    <x v="2"/>
    <n v="2242"/>
    <x v="0"/>
    <x v="0"/>
    <x v="1"/>
    <x v="63"/>
    <n v="298.91606309221402"/>
    <n v="2"/>
    <x v="125"/>
    <x v="125"/>
    <s v="Credit Card"/>
    <n v="418.48248832910002"/>
    <n v="0.29999999999999932"/>
    <m/>
  </r>
  <r>
    <s v="INV1127"/>
    <x v="0"/>
    <x v="0"/>
    <n v="1347"/>
    <x v="0"/>
    <x v="1"/>
    <x v="1"/>
    <x v="43"/>
    <n v="76.459865852107001"/>
    <n v="4"/>
    <x v="126"/>
    <x v="126"/>
    <s v="Cash"/>
    <n v="214.0876243858996"/>
    <n v="0.3"/>
    <m/>
  </r>
  <r>
    <s v="INV1128"/>
    <x v="1"/>
    <x v="0"/>
    <n v="2102"/>
    <x v="1"/>
    <x v="0"/>
    <x v="5"/>
    <x v="70"/>
    <n v="168.594030104052"/>
    <n v="7"/>
    <x v="127"/>
    <x v="127"/>
    <s v="E-Wallet"/>
    <n v="826.11074750985904"/>
    <n v="0.3"/>
    <m/>
  </r>
  <r>
    <s v="INV1129"/>
    <x v="0"/>
    <x v="1"/>
    <n v="1747"/>
    <x v="1"/>
    <x v="0"/>
    <x v="3"/>
    <x v="65"/>
    <n v="204.495902360874"/>
    <n v="2"/>
    <x v="128"/>
    <x v="128"/>
    <s v="Cash"/>
    <n v="286.29426330522398"/>
    <n v="0.29999999999999905"/>
    <m/>
  </r>
  <r>
    <s v="INV1130"/>
    <x v="2"/>
    <x v="1"/>
    <n v="1272"/>
    <x v="1"/>
    <x v="0"/>
    <x v="1"/>
    <x v="51"/>
    <n v="213.251614399815"/>
    <n v="1"/>
    <x v="129"/>
    <x v="129"/>
    <s v="E-Wallet"/>
    <n v="149.27613007987048"/>
    <n v="0.30000000000000004"/>
    <m/>
  </r>
  <r>
    <s v="INV1131"/>
    <x v="0"/>
    <x v="2"/>
    <n v="2184"/>
    <x v="1"/>
    <x v="1"/>
    <x v="3"/>
    <x v="10"/>
    <n v="69.167153064187801"/>
    <n v="3"/>
    <x v="130"/>
    <x v="130"/>
    <s v="E-Wallet"/>
    <n v="145.25102143479401"/>
    <n v="0.30000000000000043"/>
    <m/>
  </r>
  <r>
    <s v="INV1132"/>
    <x v="1"/>
    <x v="0"/>
    <n v="1307"/>
    <x v="1"/>
    <x v="1"/>
    <x v="2"/>
    <x v="21"/>
    <n v="199.65828677854199"/>
    <n v="4"/>
    <x v="131"/>
    <x v="131"/>
    <s v="Cash"/>
    <n v="559.04320297991899"/>
    <n v="0.29999999999999916"/>
    <m/>
  </r>
  <r>
    <s v="INV1133"/>
    <x v="1"/>
    <x v="0"/>
    <n v="2397"/>
    <x v="0"/>
    <x v="0"/>
    <x v="0"/>
    <x v="71"/>
    <n v="247.32717427958701"/>
    <n v="8"/>
    <x v="132"/>
    <x v="132"/>
    <s v="Cash"/>
    <n v="1385.0321759656899"/>
    <n v="0.30000000000000004"/>
    <m/>
  </r>
  <r>
    <s v="INV1134"/>
    <x v="2"/>
    <x v="1"/>
    <n v="1975"/>
    <x v="1"/>
    <x v="1"/>
    <x v="2"/>
    <x v="30"/>
    <n v="24.505387278122502"/>
    <n v="6"/>
    <x v="133"/>
    <x v="133"/>
    <s v="Credit Card"/>
    <n v="102.92262656811448"/>
    <n v="0.3000000000000001"/>
    <m/>
  </r>
  <r>
    <s v="INV1135"/>
    <x v="0"/>
    <x v="2"/>
    <n v="1732"/>
    <x v="0"/>
    <x v="1"/>
    <x v="5"/>
    <x v="57"/>
    <n v="274.34117506434097"/>
    <n v="2"/>
    <x v="134"/>
    <x v="134"/>
    <s v="E-Wallet"/>
    <n v="384.07764509007797"/>
    <n v="0.30000000000000021"/>
    <m/>
  </r>
  <r>
    <s v="INV1136"/>
    <x v="0"/>
    <x v="1"/>
    <n v="2032"/>
    <x v="0"/>
    <x v="1"/>
    <x v="4"/>
    <x v="26"/>
    <n v="18.556175992109701"/>
    <n v="9"/>
    <x v="135"/>
    <x v="135"/>
    <s v="Credit Card"/>
    <n v="116.9039087502908"/>
    <n v="0.3000000000000006"/>
    <m/>
  </r>
  <r>
    <s v="INV1137"/>
    <x v="2"/>
    <x v="1"/>
    <n v="1443"/>
    <x v="0"/>
    <x v="1"/>
    <x v="4"/>
    <x v="71"/>
    <n v="113.231599421634"/>
    <n v="2"/>
    <x v="136"/>
    <x v="136"/>
    <s v="Cash"/>
    <n v="158.5242391902874"/>
    <n v="0.30000000000000088"/>
    <m/>
  </r>
  <r>
    <s v="INV1138"/>
    <x v="0"/>
    <x v="1"/>
    <n v="2136"/>
    <x v="0"/>
    <x v="0"/>
    <x v="4"/>
    <x v="21"/>
    <n v="14.585826907558999"/>
    <n v="5"/>
    <x v="137"/>
    <x v="137"/>
    <s v="E-Wallet"/>
    <n v="51.050394176456592"/>
    <n v="0.29999999999999866"/>
    <m/>
  </r>
  <r>
    <s v="INV1139"/>
    <x v="0"/>
    <x v="1"/>
    <n v="2228"/>
    <x v="1"/>
    <x v="0"/>
    <x v="2"/>
    <x v="62"/>
    <n v="32.372098876478702"/>
    <n v="4"/>
    <x v="138"/>
    <x v="138"/>
    <s v="Credit Card"/>
    <n v="90.64187685413961"/>
    <n v="0.30000000000000154"/>
    <m/>
  </r>
  <r>
    <s v="INV1140"/>
    <x v="1"/>
    <x v="0"/>
    <n v="1404"/>
    <x v="0"/>
    <x v="1"/>
    <x v="1"/>
    <x v="57"/>
    <n v="274.23880270222202"/>
    <n v="7"/>
    <x v="139"/>
    <x v="139"/>
    <s v="Credit Card"/>
    <n v="1343.7701332408919"/>
    <n v="0.30000000000000004"/>
    <m/>
  </r>
  <r>
    <s v="INV1141"/>
    <x v="0"/>
    <x v="0"/>
    <n v="1852"/>
    <x v="0"/>
    <x v="0"/>
    <x v="0"/>
    <x v="32"/>
    <n v="112.909640916382"/>
    <n v="8"/>
    <x v="140"/>
    <x v="140"/>
    <s v="Credit Card"/>
    <n v="632.29398913174498"/>
    <n v="0.29999999999999899"/>
    <m/>
  </r>
  <r>
    <s v="INV1142"/>
    <x v="0"/>
    <x v="1"/>
    <n v="2220"/>
    <x v="0"/>
    <x v="1"/>
    <x v="4"/>
    <x v="45"/>
    <n v="133.18374382326499"/>
    <n v="5"/>
    <x v="141"/>
    <x v="141"/>
    <s v="Cash"/>
    <n v="466.14310338142798"/>
    <n v="0.30000000000000032"/>
    <m/>
  </r>
  <r>
    <s v="INV1143"/>
    <x v="2"/>
    <x v="2"/>
    <n v="1777"/>
    <x v="1"/>
    <x v="1"/>
    <x v="5"/>
    <x v="4"/>
    <n v="72.449870600940201"/>
    <n v="5"/>
    <x v="142"/>
    <x v="142"/>
    <s v="Cash"/>
    <n v="253.574547103291"/>
    <n v="0.29999999999999916"/>
    <m/>
  </r>
  <r>
    <s v="INV1144"/>
    <x v="2"/>
    <x v="2"/>
    <n v="1114"/>
    <x v="1"/>
    <x v="0"/>
    <x v="5"/>
    <x v="72"/>
    <n v="183.15777335414799"/>
    <n v="2"/>
    <x v="143"/>
    <x v="143"/>
    <s v="Cash"/>
    <n v="256.42088269580802"/>
    <n v="0.29999999999999971"/>
    <m/>
  </r>
  <r>
    <s v="INV1145"/>
    <x v="1"/>
    <x v="2"/>
    <n v="2144"/>
    <x v="1"/>
    <x v="0"/>
    <x v="4"/>
    <x v="56"/>
    <n v="182.49293225655899"/>
    <n v="8"/>
    <x v="144"/>
    <x v="144"/>
    <s v="E-Wallet"/>
    <n v="1021.9604206367291"/>
    <n v="0.3"/>
    <m/>
  </r>
  <r>
    <s v="INV1146"/>
    <x v="0"/>
    <x v="2"/>
    <n v="1064"/>
    <x v="0"/>
    <x v="0"/>
    <x v="4"/>
    <x v="38"/>
    <n v="117.93811362931299"/>
    <n v="2"/>
    <x v="145"/>
    <x v="145"/>
    <s v="Cash"/>
    <n v="165.11335908103891"/>
    <n v="0.3"/>
    <m/>
  </r>
  <r>
    <s v="INV1147"/>
    <x v="0"/>
    <x v="1"/>
    <n v="2299"/>
    <x v="0"/>
    <x v="1"/>
    <x v="0"/>
    <x v="57"/>
    <n v="106.580112823565"/>
    <n v="6"/>
    <x v="146"/>
    <x v="146"/>
    <s v="E-Wallet"/>
    <n v="447.63647385897593"/>
    <n v="0.29999999999999866"/>
    <m/>
  </r>
  <r>
    <s v="INV1148"/>
    <x v="0"/>
    <x v="0"/>
    <n v="1824"/>
    <x v="1"/>
    <x v="0"/>
    <x v="4"/>
    <x v="27"/>
    <n v="266.63964937237"/>
    <n v="8"/>
    <x v="147"/>
    <x v="147"/>
    <s v="Credit Card"/>
    <n v="1493.1820364852711"/>
    <n v="0.30000000000000043"/>
    <m/>
  </r>
  <r>
    <s v="INV1149"/>
    <x v="1"/>
    <x v="2"/>
    <n v="1238"/>
    <x v="0"/>
    <x v="1"/>
    <x v="0"/>
    <x v="19"/>
    <n v="121.152429496238"/>
    <n v="6"/>
    <x v="148"/>
    <x v="148"/>
    <s v="Credit Card"/>
    <n v="508.84020388420095"/>
    <n v="0.30000000000000004"/>
    <m/>
  </r>
  <r>
    <s v="INV1150"/>
    <x v="1"/>
    <x v="1"/>
    <n v="1301"/>
    <x v="1"/>
    <x v="0"/>
    <x v="5"/>
    <x v="48"/>
    <n v="153.115287724778"/>
    <n v="4"/>
    <x v="149"/>
    <x v="149"/>
    <s v="Cash"/>
    <n v="428.72280562937902"/>
    <n v="0.30000000000000016"/>
    <m/>
  </r>
  <r>
    <s v="INV1151"/>
    <x v="2"/>
    <x v="2"/>
    <n v="2415"/>
    <x v="1"/>
    <x v="0"/>
    <x v="4"/>
    <x v="73"/>
    <n v="92.1583811032298"/>
    <n v="4"/>
    <x v="150"/>
    <x v="150"/>
    <s v="Credit Card"/>
    <n v="258.04346708904399"/>
    <n v="0.2999999999999981"/>
    <m/>
  </r>
  <r>
    <s v="INV1152"/>
    <x v="1"/>
    <x v="2"/>
    <n v="1968"/>
    <x v="0"/>
    <x v="1"/>
    <x v="2"/>
    <x v="49"/>
    <n v="238.16315597356601"/>
    <n v="6"/>
    <x v="151"/>
    <x v="151"/>
    <s v="Cash"/>
    <n v="1000.28525508898"/>
    <n v="0.30000000000000004"/>
    <m/>
  </r>
  <r>
    <s v="INV1153"/>
    <x v="0"/>
    <x v="1"/>
    <n v="1368"/>
    <x v="0"/>
    <x v="1"/>
    <x v="2"/>
    <x v="74"/>
    <n v="125.259965500736"/>
    <n v="4"/>
    <x v="152"/>
    <x v="152"/>
    <s v="E-Wallet"/>
    <n v="350.72790340206302"/>
    <n v="0.29999999999999838"/>
    <m/>
  </r>
  <r>
    <s v="INV1154"/>
    <x v="0"/>
    <x v="0"/>
    <n v="1232"/>
    <x v="0"/>
    <x v="1"/>
    <x v="5"/>
    <x v="26"/>
    <n v="158.94720349785399"/>
    <n v="8"/>
    <x v="153"/>
    <x v="153"/>
    <s v="Credit Card"/>
    <n v="890.10433958798103"/>
    <n v="0.30000000000000004"/>
    <m/>
  </r>
  <r>
    <s v="INV1155"/>
    <x v="1"/>
    <x v="0"/>
    <n v="1194"/>
    <x v="0"/>
    <x v="1"/>
    <x v="0"/>
    <x v="75"/>
    <n v="83.473579317301798"/>
    <n v="9"/>
    <x v="154"/>
    <x v="154"/>
    <s v="Cash"/>
    <n v="525.88354969900206"/>
    <n v="0.29999999999999888"/>
    <m/>
  </r>
  <r>
    <s v="INV1156"/>
    <x v="0"/>
    <x v="1"/>
    <n v="1906"/>
    <x v="1"/>
    <x v="1"/>
    <x v="2"/>
    <x v="62"/>
    <n v="296.42128177896302"/>
    <n v="1"/>
    <x v="155"/>
    <x v="155"/>
    <s v="Credit Card"/>
    <n v="207.4948972452741"/>
    <n v="0.30000000000000004"/>
    <m/>
  </r>
  <r>
    <s v="INV1157"/>
    <x v="0"/>
    <x v="0"/>
    <n v="2035"/>
    <x v="1"/>
    <x v="1"/>
    <x v="0"/>
    <x v="22"/>
    <n v="94.533764867879597"/>
    <n v="4"/>
    <x v="156"/>
    <x v="156"/>
    <s v="Credit Card"/>
    <n v="264.69454163006299"/>
    <n v="0.29999999999999899"/>
    <m/>
  </r>
  <r>
    <s v="INV1158"/>
    <x v="1"/>
    <x v="1"/>
    <n v="1920"/>
    <x v="1"/>
    <x v="1"/>
    <x v="2"/>
    <x v="71"/>
    <n v="233.51533396260999"/>
    <n v="4"/>
    <x v="157"/>
    <x v="157"/>
    <s v="Cash"/>
    <n v="653.84293509530789"/>
    <n v="0.3000000000000001"/>
    <m/>
  </r>
  <r>
    <s v="INV1159"/>
    <x v="1"/>
    <x v="1"/>
    <n v="1688"/>
    <x v="1"/>
    <x v="1"/>
    <x v="2"/>
    <x v="33"/>
    <n v="133.97373860345999"/>
    <n v="2"/>
    <x v="158"/>
    <x v="158"/>
    <s v="Credit Card"/>
    <n v="187.56323404484397"/>
    <n v="0.3000000000000001"/>
    <m/>
  </r>
  <r>
    <s v="INV1160"/>
    <x v="0"/>
    <x v="1"/>
    <n v="1176"/>
    <x v="1"/>
    <x v="0"/>
    <x v="0"/>
    <x v="57"/>
    <n v="69.803047474400501"/>
    <n v="6"/>
    <x v="159"/>
    <x v="159"/>
    <s v="Credit Card"/>
    <n v="293.17279939248203"/>
    <n v="0.30000000000000016"/>
    <m/>
  </r>
  <r>
    <s v="INV1161"/>
    <x v="0"/>
    <x v="0"/>
    <n v="1216"/>
    <x v="0"/>
    <x v="1"/>
    <x v="1"/>
    <x v="0"/>
    <n v="241.91844154980899"/>
    <n v="3"/>
    <x v="160"/>
    <x v="160"/>
    <s v="Credit Card"/>
    <n v="508.02872725460099"/>
    <n v="0.29999999999999905"/>
    <m/>
  </r>
  <r>
    <s v="INV1162"/>
    <x v="0"/>
    <x v="1"/>
    <n v="2034"/>
    <x v="1"/>
    <x v="1"/>
    <x v="2"/>
    <x v="16"/>
    <n v="106.745968818422"/>
    <n v="7"/>
    <x v="161"/>
    <x v="161"/>
    <s v="Credit Card"/>
    <n v="523.05524721026995"/>
    <n v="0.29999999999999993"/>
    <m/>
  </r>
  <r>
    <s v="INV1163"/>
    <x v="2"/>
    <x v="2"/>
    <n v="2469"/>
    <x v="1"/>
    <x v="0"/>
    <x v="4"/>
    <x v="29"/>
    <n v="260.90607074536501"/>
    <n v="5"/>
    <x v="162"/>
    <x v="162"/>
    <s v="E-Wallet"/>
    <n v="913.171247608773"/>
    <n v="0.30000000000000082"/>
    <m/>
  </r>
  <r>
    <s v="INV1164"/>
    <x v="2"/>
    <x v="0"/>
    <n v="1629"/>
    <x v="1"/>
    <x v="1"/>
    <x v="5"/>
    <x v="34"/>
    <n v="275.42458362616799"/>
    <n v="4"/>
    <x v="163"/>
    <x v="163"/>
    <s v="Credit Card"/>
    <n v="771.18883415326786"/>
    <n v="0.30000000000000099"/>
    <m/>
  </r>
  <r>
    <s v="INV1165"/>
    <x v="2"/>
    <x v="0"/>
    <n v="1163"/>
    <x v="0"/>
    <x v="0"/>
    <x v="1"/>
    <x v="61"/>
    <n v="259.34891226347003"/>
    <n v="5"/>
    <x v="164"/>
    <x v="164"/>
    <s v="Credit Card"/>
    <n v="907.72119292214495"/>
    <n v="0.30000000000000004"/>
    <m/>
  </r>
  <r>
    <s v="INV1166"/>
    <x v="1"/>
    <x v="0"/>
    <n v="1052"/>
    <x v="0"/>
    <x v="0"/>
    <x v="0"/>
    <x v="47"/>
    <n v="20.152295293973602"/>
    <n v="8"/>
    <x v="165"/>
    <x v="165"/>
    <s v="Cash"/>
    <n v="112.85285364625231"/>
    <n v="0.3"/>
    <m/>
  </r>
  <r>
    <s v="INV1167"/>
    <x v="2"/>
    <x v="0"/>
    <n v="1217"/>
    <x v="0"/>
    <x v="1"/>
    <x v="1"/>
    <x v="24"/>
    <n v="238.33827005148001"/>
    <n v="3"/>
    <x v="166"/>
    <x v="166"/>
    <s v="E-Wallet"/>
    <n v="500.51036710810899"/>
    <n v="0.29999999999999954"/>
    <m/>
  </r>
  <r>
    <s v="INV1168"/>
    <x v="1"/>
    <x v="2"/>
    <n v="1998"/>
    <x v="0"/>
    <x v="0"/>
    <x v="3"/>
    <x v="54"/>
    <n v="129.28844528475099"/>
    <n v="7"/>
    <x v="167"/>
    <x v="167"/>
    <s v="Cash"/>
    <n v="633.51338189528394"/>
    <n v="0.29999999999999938"/>
    <m/>
  </r>
  <r>
    <s v="INV1169"/>
    <x v="1"/>
    <x v="0"/>
    <n v="1823"/>
    <x v="1"/>
    <x v="1"/>
    <x v="3"/>
    <x v="53"/>
    <n v="263.37964685284499"/>
    <n v="6"/>
    <x v="168"/>
    <x v="168"/>
    <s v="Cash"/>
    <n v="1106.194516781949"/>
    <n v="0.29999999999999993"/>
    <m/>
  </r>
  <r>
    <s v="INV1170"/>
    <x v="2"/>
    <x v="0"/>
    <n v="2383"/>
    <x v="1"/>
    <x v="0"/>
    <x v="2"/>
    <x v="76"/>
    <n v="195.00673617857399"/>
    <n v="1"/>
    <x v="169"/>
    <x v="169"/>
    <s v="Cash"/>
    <n v="136.5047153250018"/>
    <n v="0.3"/>
    <m/>
  </r>
  <r>
    <s v="INV1171"/>
    <x v="2"/>
    <x v="1"/>
    <n v="1384"/>
    <x v="0"/>
    <x v="0"/>
    <x v="2"/>
    <x v="2"/>
    <n v="251.756508901747"/>
    <n v="7"/>
    <x v="170"/>
    <x v="170"/>
    <s v="E-Wallet"/>
    <n v="1233.60689361856"/>
    <n v="0.3000000000000006"/>
    <m/>
  </r>
  <r>
    <s v="INV1172"/>
    <x v="2"/>
    <x v="0"/>
    <n v="1055"/>
    <x v="0"/>
    <x v="0"/>
    <x v="4"/>
    <x v="29"/>
    <n v="154.83521326138199"/>
    <n v="7"/>
    <x v="171"/>
    <x v="171"/>
    <s v="Cash"/>
    <n v="758.69254498076805"/>
    <n v="0.30000000000000093"/>
    <m/>
  </r>
  <r>
    <s v="INV1173"/>
    <x v="0"/>
    <x v="2"/>
    <n v="1117"/>
    <x v="1"/>
    <x v="1"/>
    <x v="5"/>
    <x v="19"/>
    <n v="165.15739633369"/>
    <n v="1"/>
    <x v="172"/>
    <x v="172"/>
    <s v="Cash"/>
    <n v="115.6101774335829"/>
    <n v="0.3000000000000006"/>
    <m/>
  </r>
  <r>
    <s v="INV1174"/>
    <x v="2"/>
    <x v="2"/>
    <n v="1899"/>
    <x v="1"/>
    <x v="1"/>
    <x v="1"/>
    <x v="45"/>
    <n v="51.872413318763499"/>
    <n v="9"/>
    <x v="173"/>
    <x v="173"/>
    <s v="Cash"/>
    <n v="326.79620390820997"/>
    <n v="0.29999999999999938"/>
    <m/>
  </r>
  <r>
    <s v="INV1175"/>
    <x v="0"/>
    <x v="2"/>
    <n v="2276"/>
    <x v="0"/>
    <x v="0"/>
    <x v="3"/>
    <x v="51"/>
    <n v="237.35633401991299"/>
    <n v="6"/>
    <x v="174"/>
    <x v="174"/>
    <s v="Credit Card"/>
    <n v="996.896602883627"/>
    <n v="0.30000000000000143"/>
    <m/>
  </r>
  <r>
    <s v="INV1176"/>
    <x v="1"/>
    <x v="2"/>
    <n v="1797"/>
    <x v="0"/>
    <x v="0"/>
    <x v="2"/>
    <x v="17"/>
    <n v="131.62298738342099"/>
    <n v="2"/>
    <x v="175"/>
    <x v="175"/>
    <s v="Cash"/>
    <n v="184.27218233679002"/>
    <n v="0.30000000000000032"/>
    <m/>
  </r>
  <r>
    <s v="INV1177"/>
    <x v="0"/>
    <x v="0"/>
    <n v="1779"/>
    <x v="0"/>
    <x v="1"/>
    <x v="5"/>
    <x v="58"/>
    <n v="155.02323429875801"/>
    <n v="5"/>
    <x v="176"/>
    <x v="176"/>
    <s v="E-Wallet"/>
    <n v="542.58132004565596"/>
    <n v="0.29999999999999982"/>
    <m/>
  </r>
  <r>
    <s v="INV1178"/>
    <x v="2"/>
    <x v="0"/>
    <n v="2015"/>
    <x v="0"/>
    <x v="1"/>
    <x v="1"/>
    <x v="60"/>
    <n v="237.67833708775501"/>
    <n v="4"/>
    <x v="177"/>
    <x v="177"/>
    <s v="E-Wallet"/>
    <n v="665.49934384571407"/>
    <n v="0.3"/>
    <m/>
  </r>
  <r>
    <s v="INV1179"/>
    <x v="1"/>
    <x v="2"/>
    <n v="1802"/>
    <x v="1"/>
    <x v="0"/>
    <x v="2"/>
    <x v="42"/>
    <n v="183.66516602303699"/>
    <n v="7"/>
    <x v="178"/>
    <x v="178"/>
    <s v="Credit Card"/>
    <n v="899.95931351288198"/>
    <n v="0.30000000000000004"/>
    <m/>
  </r>
  <r>
    <s v="INV1180"/>
    <x v="1"/>
    <x v="2"/>
    <n v="1844"/>
    <x v="1"/>
    <x v="0"/>
    <x v="2"/>
    <x v="74"/>
    <n v="68.318630958373504"/>
    <n v="8"/>
    <x v="179"/>
    <x v="179"/>
    <s v="E-Wallet"/>
    <n v="382.584333366892"/>
    <n v="0.29999999999999932"/>
    <m/>
  </r>
  <r>
    <s v="INV1181"/>
    <x v="1"/>
    <x v="0"/>
    <n v="2203"/>
    <x v="1"/>
    <x v="1"/>
    <x v="3"/>
    <x v="34"/>
    <n v="181.16747115375799"/>
    <n v="1"/>
    <x v="180"/>
    <x v="180"/>
    <s v="E-Wallet"/>
    <n v="126.81722980763038"/>
    <n v="0.30000000000000115"/>
    <m/>
  </r>
  <r>
    <s v="INV1182"/>
    <x v="0"/>
    <x v="2"/>
    <n v="2438"/>
    <x v="0"/>
    <x v="1"/>
    <x v="3"/>
    <x v="61"/>
    <n v="128.21352881409999"/>
    <n v="5"/>
    <x v="181"/>
    <x v="181"/>
    <s v="Credit Card"/>
    <n v="448.74735084935003"/>
    <n v="0.3"/>
    <m/>
  </r>
  <r>
    <s v="INV1183"/>
    <x v="2"/>
    <x v="1"/>
    <n v="2258"/>
    <x v="0"/>
    <x v="1"/>
    <x v="2"/>
    <x v="71"/>
    <n v="146.16240719272"/>
    <n v="3"/>
    <x v="182"/>
    <x v="182"/>
    <s v="Cash"/>
    <n v="306.94105510471201"/>
    <n v="0.3"/>
    <m/>
  </r>
  <r>
    <s v="INV1184"/>
    <x v="1"/>
    <x v="2"/>
    <n v="1854"/>
    <x v="1"/>
    <x v="1"/>
    <x v="0"/>
    <x v="65"/>
    <n v="18.210269576773602"/>
    <n v="1"/>
    <x v="183"/>
    <x v="183"/>
    <s v="Credit Card"/>
    <n v="12.747188703741511"/>
    <n v="0.30000000000000054"/>
    <m/>
  </r>
  <r>
    <s v="INV1185"/>
    <x v="1"/>
    <x v="2"/>
    <n v="1707"/>
    <x v="1"/>
    <x v="1"/>
    <x v="2"/>
    <x v="77"/>
    <n v="70.908511359721601"/>
    <n v="3"/>
    <x v="184"/>
    <x v="184"/>
    <s v="Cash"/>
    <n v="148.90787385541549"/>
    <n v="0.3"/>
    <m/>
  </r>
  <r>
    <s v="INV1186"/>
    <x v="1"/>
    <x v="1"/>
    <n v="2103"/>
    <x v="1"/>
    <x v="0"/>
    <x v="5"/>
    <x v="78"/>
    <n v="91.501043600498093"/>
    <n v="6"/>
    <x v="185"/>
    <x v="185"/>
    <s v="Cash"/>
    <n v="384.30438312209299"/>
    <n v="0.29999999999999871"/>
    <m/>
  </r>
  <r>
    <s v="INV1187"/>
    <x v="0"/>
    <x v="1"/>
    <n v="1021"/>
    <x v="1"/>
    <x v="1"/>
    <x v="2"/>
    <x v="75"/>
    <n v="216.758402279053"/>
    <n v="7"/>
    <x v="186"/>
    <x v="186"/>
    <s v="E-Wallet"/>
    <n v="1062.1161711673581"/>
    <n v="0.3000000000000006"/>
    <m/>
  </r>
  <r>
    <s v="INV1188"/>
    <x v="0"/>
    <x v="0"/>
    <n v="1842"/>
    <x v="0"/>
    <x v="0"/>
    <x v="4"/>
    <x v="70"/>
    <n v="13.332817256453399"/>
    <n v="8"/>
    <x v="187"/>
    <x v="187"/>
    <s v="Credit Card"/>
    <n v="74.663776636138792"/>
    <n v="0.30000000000000099"/>
    <m/>
  </r>
  <r>
    <s v="INV1189"/>
    <x v="2"/>
    <x v="0"/>
    <n v="2463"/>
    <x v="1"/>
    <x v="1"/>
    <x v="4"/>
    <x v="53"/>
    <n v="128.54540575644799"/>
    <n v="4"/>
    <x v="188"/>
    <x v="188"/>
    <s v="E-Wallet"/>
    <n v="359.92713611805596"/>
    <n v="0.29999999999999832"/>
    <m/>
  </r>
  <r>
    <s v="INV1190"/>
    <x v="0"/>
    <x v="1"/>
    <n v="2116"/>
    <x v="1"/>
    <x v="0"/>
    <x v="4"/>
    <x v="7"/>
    <n v="277.96779242346201"/>
    <n v="3"/>
    <x v="189"/>
    <x v="189"/>
    <s v="E-Wallet"/>
    <n v="583.73236408927096"/>
    <n v="0.29999999999999988"/>
    <m/>
  </r>
  <r>
    <s v="INV1191"/>
    <x v="1"/>
    <x v="1"/>
    <n v="1191"/>
    <x v="1"/>
    <x v="1"/>
    <x v="0"/>
    <x v="25"/>
    <n v="42.445378799245901"/>
    <n v="5"/>
    <x v="190"/>
    <x v="190"/>
    <s v="Cash"/>
    <n v="148.55882579736019"/>
    <n v="0.30000000000000054"/>
    <m/>
  </r>
  <r>
    <s v="INV1192"/>
    <x v="2"/>
    <x v="0"/>
    <n v="2018"/>
    <x v="1"/>
    <x v="1"/>
    <x v="0"/>
    <x v="41"/>
    <n v="159.76307258339699"/>
    <n v="9"/>
    <x v="191"/>
    <x v="191"/>
    <s v="E-Wallet"/>
    <n v="1006.5073572753979"/>
    <n v="0.30000000000000071"/>
    <m/>
  </r>
  <r>
    <s v="INV1193"/>
    <x v="1"/>
    <x v="2"/>
    <n v="2126"/>
    <x v="1"/>
    <x v="0"/>
    <x v="2"/>
    <x v="74"/>
    <n v="238.091490893345"/>
    <n v="6"/>
    <x v="192"/>
    <x v="192"/>
    <s v="Credit Card"/>
    <n v="999.98426175204804"/>
    <n v="0.30000000000000071"/>
    <m/>
  </r>
  <r>
    <s v="INV1194"/>
    <x v="1"/>
    <x v="1"/>
    <n v="1395"/>
    <x v="1"/>
    <x v="0"/>
    <x v="4"/>
    <x v="56"/>
    <n v="283.33407918083299"/>
    <n v="9"/>
    <x v="193"/>
    <x v="193"/>
    <s v="E-Wallet"/>
    <n v="1785.0046988392487"/>
    <n v="0.30000000000000049"/>
    <m/>
  </r>
  <r>
    <s v="INV1195"/>
    <x v="0"/>
    <x v="0"/>
    <n v="2030"/>
    <x v="1"/>
    <x v="1"/>
    <x v="0"/>
    <x v="6"/>
    <n v="226.565225464778"/>
    <n v="6"/>
    <x v="194"/>
    <x v="194"/>
    <s v="E-Wallet"/>
    <n v="951.57394695205994"/>
    <n v="0.30000000000000154"/>
    <m/>
  </r>
  <r>
    <s v="INV1196"/>
    <x v="2"/>
    <x v="2"/>
    <n v="1639"/>
    <x v="0"/>
    <x v="1"/>
    <x v="3"/>
    <x v="21"/>
    <n v="218.964009106877"/>
    <n v="2"/>
    <x v="195"/>
    <x v="195"/>
    <s v="Cash"/>
    <n v="306.54961274962903"/>
    <n v="0.29999999999999882"/>
    <m/>
  </r>
  <r>
    <s v="INV1197"/>
    <x v="0"/>
    <x v="1"/>
    <n v="2018"/>
    <x v="0"/>
    <x v="1"/>
    <x v="2"/>
    <x v="29"/>
    <n v="249.68154615677099"/>
    <n v="5"/>
    <x v="196"/>
    <x v="196"/>
    <s v="Credit Card"/>
    <n v="873.88541154869404"/>
    <n v="0.30000000000000077"/>
    <m/>
  </r>
  <r>
    <s v="INV1198"/>
    <x v="0"/>
    <x v="2"/>
    <n v="1566"/>
    <x v="0"/>
    <x v="1"/>
    <x v="5"/>
    <x v="55"/>
    <n v="139.39835408348699"/>
    <n v="9"/>
    <x v="197"/>
    <x v="197"/>
    <s v="E-Wallet"/>
    <n v="878.20963072596396"/>
    <n v="0.3000000000000016"/>
    <m/>
  </r>
  <r>
    <s v="INV1199"/>
    <x v="2"/>
    <x v="0"/>
    <n v="1230"/>
    <x v="0"/>
    <x v="1"/>
    <x v="1"/>
    <x v="70"/>
    <n v="243.694914459171"/>
    <n v="8"/>
    <x v="198"/>
    <x v="198"/>
    <s v="Cash"/>
    <n v="1364.6915209713591"/>
    <n v="0.3"/>
    <m/>
  </r>
  <r>
    <s v="INV1200"/>
    <x v="1"/>
    <x v="1"/>
    <n v="1873"/>
    <x v="1"/>
    <x v="0"/>
    <x v="2"/>
    <x v="45"/>
    <n v="12.309677376180799"/>
    <n v="7"/>
    <x v="199"/>
    <x v="199"/>
    <s v="E-Wallet"/>
    <n v="60.317419143286003"/>
    <n v="0.29999999999999988"/>
    <m/>
  </r>
  <r>
    <s v="INV1201"/>
    <x v="1"/>
    <x v="2"/>
    <n v="1573"/>
    <x v="0"/>
    <x v="0"/>
    <x v="1"/>
    <x v="15"/>
    <n v="278.12270605927301"/>
    <n v="1"/>
    <x v="200"/>
    <x v="200"/>
    <s v="Credit Card"/>
    <n v="194.68589424149101"/>
    <n v="0.30000000000000032"/>
    <m/>
  </r>
  <r>
    <s v="INV1202"/>
    <x v="2"/>
    <x v="1"/>
    <n v="1239"/>
    <x v="0"/>
    <x v="1"/>
    <x v="4"/>
    <x v="59"/>
    <n v="138.55888775998"/>
    <n v="4"/>
    <x v="201"/>
    <x v="201"/>
    <s v="E-Wallet"/>
    <n v="387.96488572794601"/>
    <n v="0.30000000000000021"/>
    <m/>
  </r>
  <r>
    <s v="INV1203"/>
    <x v="1"/>
    <x v="2"/>
    <n v="1089"/>
    <x v="1"/>
    <x v="0"/>
    <x v="1"/>
    <x v="29"/>
    <n v="170.480254481066"/>
    <n v="7"/>
    <x v="202"/>
    <x v="202"/>
    <s v="E-Wallet"/>
    <n v="835.35324695722011"/>
    <n v="0.3000000000000016"/>
    <m/>
  </r>
  <r>
    <s v="INV1204"/>
    <x v="2"/>
    <x v="0"/>
    <n v="1231"/>
    <x v="1"/>
    <x v="0"/>
    <x v="4"/>
    <x v="64"/>
    <n v="83.915852185315799"/>
    <n v="7"/>
    <x v="203"/>
    <x v="203"/>
    <s v="Cash"/>
    <n v="411.187675708048"/>
    <n v="0.29999999999999943"/>
    <m/>
  </r>
  <r>
    <s v="INV1205"/>
    <x v="2"/>
    <x v="0"/>
    <n v="1456"/>
    <x v="0"/>
    <x v="0"/>
    <x v="3"/>
    <x v="17"/>
    <n v="225.33394152372199"/>
    <n v="6"/>
    <x v="204"/>
    <x v="204"/>
    <s v="E-Wallet"/>
    <n v="946.40255439962993"/>
    <n v="0.30000000000000077"/>
    <m/>
  </r>
  <r>
    <s v="INV1206"/>
    <x v="0"/>
    <x v="1"/>
    <n v="1232"/>
    <x v="0"/>
    <x v="1"/>
    <x v="1"/>
    <x v="79"/>
    <n v="32.224383877822099"/>
    <n v="8"/>
    <x v="205"/>
    <x v="205"/>
    <s v="Cash"/>
    <n v="180.45654971580393"/>
    <n v="0.29999999999999993"/>
    <m/>
  </r>
  <r>
    <s v="INV1207"/>
    <x v="2"/>
    <x v="2"/>
    <n v="1353"/>
    <x v="1"/>
    <x v="0"/>
    <x v="2"/>
    <x v="80"/>
    <n v="263.06438273858203"/>
    <n v="6"/>
    <x v="206"/>
    <x v="206"/>
    <s v="Credit Card"/>
    <n v="1104.8704075020421"/>
    <n v="0.3000000000000006"/>
    <m/>
  </r>
  <r>
    <s v="INV1208"/>
    <x v="0"/>
    <x v="1"/>
    <n v="2004"/>
    <x v="0"/>
    <x v="1"/>
    <x v="4"/>
    <x v="13"/>
    <n v="250.153880411839"/>
    <n v="3"/>
    <x v="207"/>
    <x v="207"/>
    <s v="E-Wallet"/>
    <n v="525.32314886486301"/>
    <n v="0.29999999999999943"/>
    <m/>
  </r>
  <r>
    <s v="INV1209"/>
    <x v="1"/>
    <x v="1"/>
    <n v="2356"/>
    <x v="1"/>
    <x v="0"/>
    <x v="2"/>
    <x v="7"/>
    <n v="72.657433710982204"/>
    <n v="4"/>
    <x v="208"/>
    <x v="208"/>
    <s v="Credit Card"/>
    <n v="203.44081439075029"/>
    <n v="0.3"/>
    <m/>
  </r>
  <r>
    <s v="INV1210"/>
    <x v="1"/>
    <x v="2"/>
    <n v="1438"/>
    <x v="1"/>
    <x v="1"/>
    <x v="0"/>
    <x v="60"/>
    <n v="244.704075502726"/>
    <n v="3"/>
    <x v="209"/>
    <x v="209"/>
    <s v="Credit Card"/>
    <n v="513.87855855572502"/>
    <n v="0.29999999999999938"/>
    <m/>
  </r>
  <r>
    <s v="INV1211"/>
    <x v="1"/>
    <x v="2"/>
    <n v="2398"/>
    <x v="1"/>
    <x v="0"/>
    <x v="4"/>
    <x v="79"/>
    <n v="238.043742587829"/>
    <n v="1"/>
    <x v="210"/>
    <x v="210"/>
    <s v="E-Wallet"/>
    <n v="166.63061981148019"/>
    <n v="0.30000000000000049"/>
    <m/>
  </r>
  <r>
    <s v="INV1212"/>
    <x v="1"/>
    <x v="2"/>
    <n v="2315"/>
    <x v="1"/>
    <x v="1"/>
    <x v="1"/>
    <x v="76"/>
    <n v="193.342813348645"/>
    <n v="5"/>
    <x v="211"/>
    <x v="211"/>
    <s v="Cash"/>
    <n v="676.69984672025907"/>
    <n v="0.2999999999999991"/>
    <m/>
  </r>
  <r>
    <s v="INV1213"/>
    <x v="0"/>
    <x v="0"/>
    <n v="1344"/>
    <x v="0"/>
    <x v="1"/>
    <x v="4"/>
    <x v="59"/>
    <n v="118.320851300909"/>
    <n v="1"/>
    <x v="212"/>
    <x v="212"/>
    <s v="Credit Card"/>
    <n v="82.824595910636191"/>
    <n v="0.30000000000000093"/>
    <m/>
  </r>
  <r>
    <s v="INV1214"/>
    <x v="1"/>
    <x v="1"/>
    <n v="1663"/>
    <x v="1"/>
    <x v="0"/>
    <x v="2"/>
    <x v="81"/>
    <n v="88.734638712741599"/>
    <n v="1"/>
    <x v="213"/>
    <x v="213"/>
    <s v="Credit Card"/>
    <n v="62.114247098919101"/>
    <n v="0.30000000000000021"/>
    <m/>
  </r>
  <r>
    <s v="INV1215"/>
    <x v="2"/>
    <x v="1"/>
    <n v="2451"/>
    <x v="1"/>
    <x v="1"/>
    <x v="3"/>
    <x v="37"/>
    <n v="77.217241183911497"/>
    <n v="2"/>
    <x v="214"/>
    <x v="214"/>
    <s v="E-Wallet"/>
    <n v="108.10413765747609"/>
    <n v="0.30000000000000004"/>
    <m/>
  </r>
  <r>
    <s v="INV1216"/>
    <x v="2"/>
    <x v="0"/>
    <n v="1656"/>
    <x v="0"/>
    <x v="1"/>
    <x v="4"/>
    <x v="13"/>
    <n v="102.39659920144599"/>
    <n v="4"/>
    <x v="215"/>
    <x v="215"/>
    <s v="E-Wallet"/>
    <n v="286.71047776404896"/>
    <n v="0.29999999999999954"/>
    <m/>
  </r>
  <r>
    <s v="INV1217"/>
    <x v="2"/>
    <x v="2"/>
    <n v="1129"/>
    <x v="1"/>
    <x v="1"/>
    <x v="1"/>
    <x v="60"/>
    <n v="272.03194859543299"/>
    <n v="6"/>
    <x v="216"/>
    <x v="216"/>
    <s v="E-Wallet"/>
    <n v="1142.5341841008199"/>
    <n v="0.30000000000000004"/>
    <m/>
  </r>
  <r>
    <s v="INV1218"/>
    <x v="0"/>
    <x v="0"/>
    <n v="1140"/>
    <x v="0"/>
    <x v="1"/>
    <x v="0"/>
    <x v="82"/>
    <n v="32.515825036746499"/>
    <n v="8"/>
    <x v="217"/>
    <x v="217"/>
    <s v="E-Wallet"/>
    <n v="182.08862020578027"/>
    <n v="0.30000000000000043"/>
    <m/>
  </r>
  <r>
    <s v="INV1219"/>
    <x v="1"/>
    <x v="0"/>
    <n v="1414"/>
    <x v="0"/>
    <x v="1"/>
    <x v="5"/>
    <x v="35"/>
    <n v="250.372670113358"/>
    <n v="3"/>
    <x v="218"/>
    <x v="218"/>
    <s v="E-Wallet"/>
    <n v="525.78260723805192"/>
    <n v="0.29999999999999982"/>
    <m/>
  </r>
  <r>
    <s v="INV1220"/>
    <x v="1"/>
    <x v="0"/>
    <n v="2116"/>
    <x v="0"/>
    <x v="1"/>
    <x v="3"/>
    <x v="57"/>
    <n v="111.178121762128"/>
    <n v="1"/>
    <x v="219"/>
    <x v="219"/>
    <s v="E-Wallet"/>
    <n v="77.82468523348939"/>
    <n v="0.30000000000000188"/>
    <m/>
  </r>
  <r>
    <s v="INV1221"/>
    <x v="1"/>
    <x v="1"/>
    <n v="1625"/>
    <x v="1"/>
    <x v="1"/>
    <x v="0"/>
    <x v="0"/>
    <n v="161.26382484329301"/>
    <n v="3"/>
    <x v="220"/>
    <x v="220"/>
    <s v="Cash"/>
    <n v="338.65403217091699"/>
    <n v="0.29999999999999938"/>
    <m/>
  </r>
  <r>
    <s v="INV1222"/>
    <x v="0"/>
    <x v="0"/>
    <n v="1283"/>
    <x v="0"/>
    <x v="1"/>
    <x v="4"/>
    <x v="63"/>
    <n v="240.40083375806199"/>
    <n v="3"/>
    <x v="221"/>
    <x v="221"/>
    <s v="Credit Card"/>
    <n v="504.84175089193093"/>
    <n v="0.29999999999999988"/>
    <m/>
  </r>
  <r>
    <s v="INV1223"/>
    <x v="2"/>
    <x v="1"/>
    <n v="1222"/>
    <x v="0"/>
    <x v="0"/>
    <x v="2"/>
    <x v="0"/>
    <n v="266.46919863666102"/>
    <n v="5"/>
    <x v="222"/>
    <x v="222"/>
    <s v="Cash"/>
    <n v="932.64219522830786"/>
    <n v="0.30000000000000154"/>
    <m/>
  </r>
  <r>
    <s v="INV1224"/>
    <x v="2"/>
    <x v="1"/>
    <n v="1743"/>
    <x v="1"/>
    <x v="0"/>
    <x v="2"/>
    <x v="80"/>
    <n v="109.986611821067"/>
    <n v="4"/>
    <x v="223"/>
    <x v="223"/>
    <s v="Cash"/>
    <n v="307.96251309898901"/>
    <n v="0.3"/>
    <m/>
  </r>
  <r>
    <s v="INV1225"/>
    <x v="1"/>
    <x v="1"/>
    <n v="1462"/>
    <x v="0"/>
    <x v="1"/>
    <x v="1"/>
    <x v="31"/>
    <n v="143.934609569782"/>
    <n v="4"/>
    <x v="224"/>
    <x v="224"/>
    <s v="E-Wallet"/>
    <n v="403.01690679539001"/>
    <n v="0.29999999999999927"/>
    <m/>
  </r>
  <r>
    <s v="INV1226"/>
    <x v="2"/>
    <x v="2"/>
    <n v="2299"/>
    <x v="0"/>
    <x v="1"/>
    <x v="2"/>
    <x v="63"/>
    <n v="130.20965879686901"/>
    <n v="9"/>
    <x v="225"/>
    <x v="225"/>
    <s v="Credit Card"/>
    <n v="820.32085042027188"/>
    <n v="0.30000000000000177"/>
    <m/>
  </r>
  <r>
    <s v="INV1227"/>
    <x v="2"/>
    <x v="1"/>
    <n v="2163"/>
    <x v="0"/>
    <x v="0"/>
    <x v="3"/>
    <x v="33"/>
    <n v="13.842799716134"/>
    <n v="7"/>
    <x v="226"/>
    <x v="226"/>
    <s v="Cash"/>
    <n v="67.829718609056897"/>
    <n v="0.29999999999999982"/>
    <m/>
  </r>
  <r>
    <s v="INV1228"/>
    <x v="0"/>
    <x v="1"/>
    <n v="1356"/>
    <x v="0"/>
    <x v="0"/>
    <x v="2"/>
    <x v="83"/>
    <n v="95.823437769010397"/>
    <n v="4"/>
    <x v="227"/>
    <x v="227"/>
    <s v="E-Wallet"/>
    <n v="268.30562575322904"/>
    <n v="0.29999999999999916"/>
    <m/>
  </r>
  <r>
    <s v="INV1229"/>
    <x v="0"/>
    <x v="2"/>
    <n v="2046"/>
    <x v="0"/>
    <x v="0"/>
    <x v="1"/>
    <x v="48"/>
    <n v="143.16487778244201"/>
    <n v="3"/>
    <x v="228"/>
    <x v="228"/>
    <s v="E-Wallet"/>
    <n v="300.64624334312998"/>
    <n v="0.2999999999999991"/>
    <m/>
  </r>
  <r>
    <s v="INV1230"/>
    <x v="0"/>
    <x v="1"/>
    <n v="2293"/>
    <x v="1"/>
    <x v="1"/>
    <x v="5"/>
    <x v="48"/>
    <n v="129.21714657532701"/>
    <n v="6"/>
    <x v="229"/>
    <x v="229"/>
    <s v="Credit Card"/>
    <n v="542.71201561637599"/>
    <n v="0.29999999999999943"/>
    <m/>
  </r>
  <r>
    <s v="INV1231"/>
    <x v="0"/>
    <x v="0"/>
    <n v="1858"/>
    <x v="0"/>
    <x v="0"/>
    <x v="4"/>
    <x v="69"/>
    <n v="219.359475979547"/>
    <n v="3"/>
    <x v="230"/>
    <x v="230"/>
    <s v="Cash"/>
    <n v="460.65489955704896"/>
    <n v="0.29999999999999954"/>
    <m/>
  </r>
  <r>
    <s v="INV1232"/>
    <x v="1"/>
    <x v="0"/>
    <n v="1664"/>
    <x v="0"/>
    <x v="1"/>
    <x v="4"/>
    <x v="74"/>
    <n v="121.593048994119"/>
    <n v="6"/>
    <x v="231"/>
    <x v="231"/>
    <s v="Cash"/>
    <n v="510.69080577530406"/>
    <n v="0.29999999999999899"/>
    <m/>
  </r>
  <r>
    <s v="INV1233"/>
    <x v="0"/>
    <x v="1"/>
    <n v="2356"/>
    <x v="1"/>
    <x v="1"/>
    <x v="2"/>
    <x v="31"/>
    <n v="151.91917020149401"/>
    <n v="9"/>
    <x v="232"/>
    <x v="232"/>
    <s v="Cash"/>
    <n v="957.0907722694061"/>
    <n v="0.30000000000000143"/>
    <m/>
  </r>
  <r>
    <s v="INV1234"/>
    <x v="2"/>
    <x v="2"/>
    <n v="2014"/>
    <x v="1"/>
    <x v="0"/>
    <x v="0"/>
    <x v="78"/>
    <n v="134.58649171838499"/>
    <n v="6"/>
    <x v="233"/>
    <x v="233"/>
    <s v="E-Wallet"/>
    <n v="565.26326521721899"/>
    <n v="0.29999999999999927"/>
    <m/>
  </r>
  <r>
    <s v="INV1235"/>
    <x v="1"/>
    <x v="0"/>
    <n v="1084"/>
    <x v="1"/>
    <x v="1"/>
    <x v="4"/>
    <x v="11"/>
    <n v="224.781583179367"/>
    <n v="4"/>
    <x v="234"/>
    <x v="234"/>
    <s v="Credit Card"/>
    <n v="629.38843290222906"/>
    <n v="0.29999999999999921"/>
    <m/>
  </r>
  <r>
    <s v="INV1236"/>
    <x v="2"/>
    <x v="2"/>
    <n v="1620"/>
    <x v="0"/>
    <x v="1"/>
    <x v="5"/>
    <x v="69"/>
    <n v="260.26199570621901"/>
    <n v="5"/>
    <x v="235"/>
    <x v="235"/>
    <s v="Credit Card"/>
    <n v="910.91698497176208"/>
    <n v="0.30000000000000077"/>
    <m/>
  </r>
  <r>
    <s v="INV1237"/>
    <x v="2"/>
    <x v="2"/>
    <n v="2054"/>
    <x v="1"/>
    <x v="1"/>
    <x v="2"/>
    <x v="35"/>
    <n v="164.24783291217901"/>
    <n v="6"/>
    <x v="236"/>
    <x v="236"/>
    <s v="Cash"/>
    <n v="689.84089823115198"/>
    <n v="0.29999999999999982"/>
    <m/>
  </r>
  <r>
    <s v="INV1238"/>
    <x v="2"/>
    <x v="0"/>
    <n v="1239"/>
    <x v="0"/>
    <x v="1"/>
    <x v="1"/>
    <x v="35"/>
    <n v="238.935336316605"/>
    <n v="3"/>
    <x v="237"/>
    <x v="237"/>
    <s v="E-Wallet"/>
    <n v="501.76420626487203"/>
    <n v="0.29999999999999888"/>
    <m/>
  </r>
  <r>
    <s v="INV1239"/>
    <x v="0"/>
    <x v="2"/>
    <n v="1362"/>
    <x v="0"/>
    <x v="0"/>
    <x v="5"/>
    <x v="72"/>
    <n v="96.068137785756605"/>
    <n v="8"/>
    <x v="238"/>
    <x v="238"/>
    <s v="Cash"/>
    <n v="537.98157160023698"/>
    <n v="0.3000000000000001"/>
    <m/>
  </r>
  <r>
    <s v="INV1240"/>
    <x v="0"/>
    <x v="0"/>
    <n v="1821"/>
    <x v="1"/>
    <x v="0"/>
    <x v="2"/>
    <x v="14"/>
    <n v="166.99718694560701"/>
    <n v="4"/>
    <x v="239"/>
    <x v="239"/>
    <s v="Credit Card"/>
    <n v="467.59212344770197"/>
    <n v="0.2999999999999996"/>
    <m/>
  </r>
  <r>
    <s v="INV1241"/>
    <x v="1"/>
    <x v="2"/>
    <n v="2412"/>
    <x v="1"/>
    <x v="1"/>
    <x v="5"/>
    <x v="68"/>
    <n v="110.116686564292"/>
    <n v="8"/>
    <x v="240"/>
    <x v="240"/>
    <s v="E-Wallet"/>
    <n v="616.65344476003588"/>
    <n v="0.29999999999999921"/>
    <m/>
  </r>
  <r>
    <s v="INV1242"/>
    <x v="1"/>
    <x v="0"/>
    <n v="1667"/>
    <x v="0"/>
    <x v="1"/>
    <x v="4"/>
    <x v="74"/>
    <n v="130.11826841582999"/>
    <n v="3"/>
    <x v="241"/>
    <x v="241"/>
    <s v="Cash"/>
    <n v="273.24836367324497"/>
    <n v="0.29999999999999849"/>
    <m/>
  </r>
  <r>
    <s v="INV1243"/>
    <x v="0"/>
    <x v="1"/>
    <n v="2322"/>
    <x v="1"/>
    <x v="0"/>
    <x v="1"/>
    <x v="50"/>
    <n v="222.40002079567299"/>
    <n v="7"/>
    <x v="242"/>
    <x v="242"/>
    <s v="Cash"/>
    <n v="1089.7601018987948"/>
    <n v="0.30000000000000138"/>
    <m/>
  </r>
  <r>
    <s v="INV1244"/>
    <x v="2"/>
    <x v="0"/>
    <n v="2394"/>
    <x v="0"/>
    <x v="1"/>
    <x v="2"/>
    <x v="5"/>
    <n v="265.68211987648601"/>
    <n v="9"/>
    <x v="243"/>
    <x v="243"/>
    <s v="E-Wallet"/>
    <n v="1673.7973552218659"/>
    <n v="0.30000000000000004"/>
    <m/>
  </r>
  <r>
    <s v="INV1245"/>
    <x v="1"/>
    <x v="0"/>
    <n v="1098"/>
    <x v="1"/>
    <x v="0"/>
    <x v="3"/>
    <x v="22"/>
    <n v="45.2336634154519"/>
    <n v="4"/>
    <x v="244"/>
    <x v="244"/>
    <s v="Credit Card"/>
    <n v="126.65425756326471"/>
    <n v="0.3000000000000011"/>
    <m/>
  </r>
  <r>
    <s v="INV1246"/>
    <x v="0"/>
    <x v="0"/>
    <n v="1046"/>
    <x v="1"/>
    <x v="1"/>
    <x v="1"/>
    <x v="40"/>
    <n v="194.04538438134"/>
    <n v="8"/>
    <x v="245"/>
    <x v="245"/>
    <s v="E-Wallet"/>
    <n v="1086.654152535504"/>
    <n v="0.30000000000000004"/>
    <m/>
  </r>
  <r>
    <s v="INV1247"/>
    <x v="0"/>
    <x v="0"/>
    <n v="1838"/>
    <x v="1"/>
    <x v="1"/>
    <x v="3"/>
    <x v="84"/>
    <n v="178.82170419756099"/>
    <n v="3"/>
    <x v="246"/>
    <x v="246"/>
    <s v="Cash"/>
    <n v="375.52557881487905"/>
    <n v="0.29999999999999954"/>
    <m/>
  </r>
  <r>
    <s v="INV1248"/>
    <x v="0"/>
    <x v="2"/>
    <n v="1421"/>
    <x v="0"/>
    <x v="0"/>
    <x v="5"/>
    <x v="50"/>
    <n v="44.3403613610202"/>
    <n v="7"/>
    <x v="247"/>
    <x v="247"/>
    <s v="Cash"/>
    <n v="217.26777066899851"/>
    <n v="0.3000000000000006"/>
    <m/>
  </r>
  <r>
    <s v="INV1249"/>
    <x v="2"/>
    <x v="1"/>
    <n v="1061"/>
    <x v="1"/>
    <x v="0"/>
    <x v="0"/>
    <x v="46"/>
    <n v="71.449355827631607"/>
    <n v="3"/>
    <x v="248"/>
    <x v="248"/>
    <s v="Cash"/>
    <n v="150.04364723802561"/>
    <n v="0.30000000000000088"/>
    <m/>
  </r>
  <r>
    <s v="INV1250"/>
    <x v="0"/>
    <x v="0"/>
    <n v="2132"/>
    <x v="0"/>
    <x v="0"/>
    <x v="1"/>
    <x v="79"/>
    <n v="100.190723472477"/>
    <n v="7"/>
    <x v="249"/>
    <x v="249"/>
    <s v="Cash"/>
    <n v="490.93454501513793"/>
    <n v="0.30000000000000004"/>
    <m/>
  </r>
  <r>
    <s v="INV1251"/>
    <x v="0"/>
    <x v="2"/>
    <n v="2142"/>
    <x v="0"/>
    <x v="0"/>
    <x v="5"/>
    <x v="55"/>
    <n v="58.410010537075401"/>
    <n v="6"/>
    <x v="250"/>
    <x v="250"/>
    <s v="Credit Card"/>
    <n v="245.322044255717"/>
    <n v="0.29999999999999827"/>
    <m/>
  </r>
  <r>
    <s v="INV1252"/>
    <x v="0"/>
    <x v="1"/>
    <n v="2009"/>
    <x v="0"/>
    <x v="1"/>
    <x v="3"/>
    <x v="19"/>
    <n v="80.681549932059099"/>
    <n v="2"/>
    <x v="251"/>
    <x v="251"/>
    <s v="Credit Card"/>
    <n v="112.9541699048826"/>
    <n v="0.3"/>
    <m/>
  </r>
  <r>
    <s v="INV1253"/>
    <x v="0"/>
    <x v="1"/>
    <n v="1597"/>
    <x v="0"/>
    <x v="0"/>
    <x v="4"/>
    <x v="74"/>
    <n v="87.6042316698951"/>
    <n v="3"/>
    <x v="252"/>
    <x v="252"/>
    <s v="Cash"/>
    <n v="183.9688865067794"/>
    <n v="0.30000000000000038"/>
    <m/>
  </r>
  <r>
    <s v="INV1254"/>
    <x v="1"/>
    <x v="1"/>
    <n v="2405"/>
    <x v="1"/>
    <x v="1"/>
    <x v="4"/>
    <x v="2"/>
    <n v="107.345411581327"/>
    <n v="6"/>
    <x v="253"/>
    <x v="253"/>
    <s v="Credit Card"/>
    <n v="450.85072864157394"/>
    <n v="0.30000000000000021"/>
    <m/>
  </r>
  <r>
    <s v="INV1255"/>
    <x v="1"/>
    <x v="1"/>
    <n v="1391"/>
    <x v="0"/>
    <x v="0"/>
    <x v="0"/>
    <x v="3"/>
    <n v="227.32323131233599"/>
    <n v="4"/>
    <x v="254"/>
    <x v="254"/>
    <s v="Credit Card"/>
    <n v="636.50504767454095"/>
    <n v="0.29999999999999982"/>
    <m/>
  </r>
  <r>
    <s v="INV1256"/>
    <x v="0"/>
    <x v="0"/>
    <n v="1976"/>
    <x v="0"/>
    <x v="0"/>
    <x v="1"/>
    <x v="70"/>
    <n v="175.854539116674"/>
    <n v="6"/>
    <x v="255"/>
    <x v="255"/>
    <s v="Credit Card"/>
    <n v="738.58906429002695"/>
    <n v="0.30000000000000093"/>
    <m/>
  </r>
  <r>
    <s v="INV1257"/>
    <x v="2"/>
    <x v="0"/>
    <n v="2075"/>
    <x v="1"/>
    <x v="1"/>
    <x v="1"/>
    <x v="85"/>
    <n v="296.01153486590601"/>
    <n v="1"/>
    <x v="256"/>
    <x v="256"/>
    <s v="Cash"/>
    <n v="207.20807440613413"/>
    <n v="0.30000000000000027"/>
    <m/>
  </r>
  <r>
    <s v="INV1258"/>
    <x v="1"/>
    <x v="2"/>
    <n v="1602"/>
    <x v="0"/>
    <x v="0"/>
    <x v="1"/>
    <x v="6"/>
    <n v="130.273389820566"/>
    <n v="1"/>
    <x v="257"/>
    <x v="257"/>
    <s v="E-Wallet"/>
    <n v="91.191372874396095"/>
    <n v="0.30000000000000077"/>
    <m/>
  </r>
  <r>
    <s v="INV1259"/>
    <x v="0"/>
    <x v="2"/>
    <n v="2312"/>
    <x v="1"/>
    <x v="0"/>
    <x v="5"/>
    <x v="80"/>
    <n v="228.620871412708"/>
    <n v="3"/>
    <x v="258"/>
    <x v="258"/>
    <s v="E-Wallet"/>
    <n v="480.10382996668704"/>
    <n v="0.29999999999999966"/>
    <m/>
  </r>
  <r>
    <s v="INV1260"/>
    <x v="1"/>
    <x v="2"/>
    <n v="1336"/>
    <x v="0"/>
    <x v="0"/>
    <x v="0"/>
    <x v="4"/>
    <n v="262.72584219919401"/>
    <n v="8"/>
    <x v="259"/>
    <x v="259"/>
    <s v="E-Wallet"/>
    <n v="1471.2647163154834"/>
    <n v="0.30000000000000082"/>
    <m/>
  </r>
  <r>
    <s v="INV1261"/>
    <x v="1"/>
    <x v="1"/>
    <n v="1809"/>
    <x v="1"/>
    <x v="0"/>
    <x v="1"/>
    <x v="36"/>
    <n v="206.903762981032"/>
    <n v="8"/>
    <x v="260"/>
    <x v="260"/>
    <s v="Cash"/>
    <n v="1158.6610726937731"/>
    <n v="0.30000000000000115"/>
    <m/>
  </r>
  <r>
    <s v="INV1262"/>
    <x v="2"/>
    <x v="1"/>
    <n v="2227"/>
    <x v="0"/>
    <x v="1"/>
    <x v="5"/>
    <x v="74"/>
    <n v="129.44077472107301"/>
    <n v="4"/>
    <x v="261"/>
    <x v="261"/>
    <s v="Credit Card"/>
    <n v="362.434169219007"/>
    <n v="0.29999999999999905"/>
    <m/>
  </r>
  <r>
    <s v="INV1263"/>
    <x v="0"/>
    <x v="0"/>
    <n v="2261"/>
    <x v="1"/>
    <x v="1"/>
    <x v="4"/>
    <x v="47"/>
    <n v="228.54244291626799"/>
    <n v="6"/>
    <x v="262"/>
    <x v="262"/>
    <s v="Credit Card"/>
    <n v="959.87826024832702"/>
    <n v="0.3"/>
    <m/>
  </r>
  <r>
    <s v="INV1264"/>
    <x v="0"/>
    <x v="1"/>
    <n v="2405"/>
    <x v="0"/>
    <x v="0"/>
    <x v="3"/>
    <x v="19"/>
    <n v="69.063469954078599"/>
    <n v="8"/>
    <x v="263"/>
    <x v="263"/>
    <s v="Cash"/>
    <n v="386.75543174283996"/>
    <n v="0.29999999999999932"/>
    <m/>
  </r>
  <r>
    <s v="INV1265"/>
    <x v="2"/>
    <x v="1"/>
    <n v="1751"/>
    <x v="0"/>
    <x v="0"/>
    <x v="5"/>
    <x v="85"/>
    <n v="104.990127902238"/>
    <n v="7"/>
    <x v="264"/>
    <x v="264"/>
    <s v="Cash"/>
    <n v="514.45162672096797"/>
    <n v="0.29999999999999943"/>
    <m/>
  </r>
  <r>
    <s v="INV1266"/>
    <x v="2"/>
    <x v="1"/>
    <n v="2159"/>
    <x v="1"/>
    <x v="0"/>
    <x v="4"/>
    <x v="80"/>
    <n v="168.538723978793"/>
    <n v="7"/>
    <x v="265"/>
    <x v="265"/>
    <s v="E-Wallet"/>
    <n v="825.83974749608399"/>
    <n v="0.30000000000000088"/>
    <m/>
  </r>
  <r>
    <s v="INV1267"/>
    <x v="0"/>
    <x v="2"/>
    <n v="2430"/>
    <x v="1"/>
    <x v="1"/>
    <x v="4"/>
    <x v="59"/>
    <n v="176.86872231298301"/>
    <n v="4"/>
    <x v="266"/>
    <x v="266"/>
    <s v="E-Wallet"/>
    <n v="495.23242247635301"/>
    <n v="0.29999999999999916"/>
    <m/>
  </r>
  <r>
    <s v="INV1268"/>
    <x v="0"/>
    <x v="2"/>
    <n v="2385"/>
    <x v="1"/>
    <x v="1"/>
    <x v="3"/>
    <x v="69"/>
    <n v="16.4210278870625"/>
    <n v="9"/>
    <x v="267"/>
    <x v="267"/>
    <s v="Cash"/>
    <n v="103.45247568849319"/>
    <n v="0.30000000000000138"/>
    <m/>
  </r>
  <r>
    <s v="INV1269"/>
    <x v="2"/>
    <x v="0"/>
    <n v="2404"/>
    <x v="1"/>
    <x v="1"/>
    <x v="4"/>
    <x v="40"/>
    <n v="284.08311473924198"/>
    <n v="6"/>
    <x v="268"/>
    <x v="268"/>
    <s v="E-Wallet"/>
    <n v="1193.149081904814"/>
    <n v="0.3000000000000006"/>
    <m/>
  </r>
  <r>
    <s v="INV1270"/>
    <x v="1"/>
    <x v="1"/>
    <n v="1880"/>
    <x v="0"/>
    <x v="1"/>
    <x v="0"/>
    <x v="45"/>
    <n v="212.021908653043"/>
    <n v="3"/>
    <x v="269"/>
    <x v="269"/>
    <s v="Credit Card"/>
    <n v="445.24600817139105"/>
    <n v="0.29999999999999888"/>
    <m/>
  </r>
  <r>
    <s v="INV1271"/>
    <x v="1"/>
    <x v="1"/>
    <n v="1634"/>
    <x v="0"/>
    <x v="0"/>
    <x v="3"/>
    <x v="85"/>
    <n v="153.75408756724801"/>
    <n v="5"/>
    <x v="270"/>
    <x v="270"/>
    <s v="Cash"/>
    <n v="538.13930648536996"/>
    <n v="0.29999999999999927"/>
    <m/>
  </r>
  <r>
    <s v="INV1272"/>
    <x v="2"/>
    <x v="0"/>
    <n v="1253"/>
    <x v="1"/>
    <x v="0"/>
    <x v="4"/>
    <x v="20"/>
    <n v="280.60689797840899"/>
    <n v="5"/>
    <x v="271"/>
    <x v="271"/>
    <s v="Cash"/>
    <n v="982.124142924426"/>
    <n v="0.30000000000000143"/>
    <m/>
  </r>
  <r>
    <s v="INV1273"/>
    <x v="1"/>
    <x v="1"/>
    <n v="2137"/>
    <x v="0"/>
    <x v="0"/>
    <x v="2"/>
    <x v="8"/>
    <n v="137.33771392273999"/>
    <n v="5"/>
    <x v="272"/>
    <x v="272"/>
    <s v="Credit Card"/>
    <n v="480.68199872959099"/>
    <n v="0.2999999999999996"/>
    <m/>
  </r>
  <r>
    <s v="INV1274"/>
    <x v="2"/>
    <x v="1"/>
    <n v="1019"/>
    <x v="1"/>
    <x v="1"/>
    <x v="5"/>
    <x v="48"/>
    <n v="294.326315378407"/>
    <n v="8"/>
    <x v="273"/>
    <x v="273"/>
    <s v="Credit Card"/>
    <n v="1648.227366119082"/>
    <n v="0.30000000000000004"/>
    <m/>
  </r>
  <r>
    <s v="INV1275"/>
    <x v="1"/>
    <x v="2"/>
    <n v="1527"/>
    <x v="1"/>
    <x v="0"/>
    <x v="4"/>
    <x v="67"/>
    <n v="158.56257960061001"/>
    <n v="9"/>
    <x v="274"/>
    <x v="274"/>
    <s v="Credit Card"/>
    <n v="998.94425148384198"/>
    <n v="0.30000000000000071"/>
    <m/>
  </r>
  <r>
    <s v="INV1276"/>
    <x v="1"/>
    <x v="0"/>
    <n v="2168"/>
    <x v="0"/>
    <x v="1"/>
    <x v="0"/>
    <x v="40"/>
    <n v="43.142873299413999"/>
    <n v="9"/>
    <x v="275"/>
    <x v="275"/>
    <s v="E-Wallet"/>
    <n v="271.80010178630903"/>
    <n v="0.29999999999999788"/>
    <m/>
  </r>
  <r>
    <s v="INV1277"/>
    <x v="0"/>
    <x v="0"/>
    <n v="2231"/>
    <x v="0"/>
    <x v="1"/>
    <x v="1"/>
    <x v="84"/>
    <n v="231.79228201319"/>
    <n v="6"/>
    <x v="276"/>
    <x v="276"/>
    <s v="Cash"/>
    <n v="973.52758445539791"/>
    <n v="0.3"/>
    <m/>
  </r>
  <r>
    <s v="INV1278"/>
    <x v="0"/>
    <x v="0"/>
    <n v="1375"/>
    <x v="0"/>
    <x v="0"/>
    <x v="4"/>
    <x v="0"/>
    <n v="206.88034027257299"/>
    <n v="6"/>
    <x v="277"/>
    <x v="277"/>
    <s v="E-Wallet"/>
    <n v="868.89742914480803"/>
    <n v="0.3"/>
    <m/>
  </r>
  <r>
    <s v="INV1279"/>
    <x v="1"/>
    <x v="0"/>
    <n v="1165"/>
    <x v="0"/>
    <x v="0"/>
    <x v="1"/>
    <x v="39"/>
    <n v="234.16614917862"/>
    <n v="9"/>
    <x v="278"/>
    <x v="278"/>
    <s v="Credit Card"/>
    <n v="1475.2467398253059"/>
    <n v="0.30000000000000004"/>
    <m/>
  </r>
  <r>
    <s v="INV1280"/>
    <x v="1"/>
    <x v="2"/>
    <n v="2204"/>
    <x v="0"/>
    <x v="0"/>
    <x v="2"/>
    <x v="86"/>
    <n v="285.91818833044698"/>
    <n v="4"/>
    <x v="279"/>
    <x v="279"/>
    <s v="E-Wallet"/>
    <n v="800.57092732525302"/>
    <n v="0.29999999999999993"/>
    <m/>
  </r>
  <r>
    <s v="INV1281"/>
    <x v="0"/>
    <x v="2"/>
    <n v="1860"/>
    <x v="0"/>
    <x v="1"/>
    <x v="4"/>
    <x v="51"/>
    <n v="235.18189776879501"/>
    <n v="6"/>
    <x v="280"/>
    <x v="280"/>
    <s v="Credit Card"/>
    <n v="987.76397062893909"/>
    <n v="0.3"/>
    <m/>
  </r>
  <r>
    <s v="INV1282"/>
    <x v="0"/>
    <x v="1"/>
    <n v="1616"/>
    <x v="0"/>
    <x v="1"/>
    <x v="3"/>
    <x v="33"/>
    <n v="187.28761464282701"/>
    <n v="4"/>
    <x v="281"/>
    <x v="281"/>
    <s v="E-Wallet"/>
    <n v="524.40532099991697"/>
    <n v="0.3"/>
    <m/>
  </r>
  <r>
    <s v="INV1283"/>
    <x v="0"/>
    <x v="1"/>
    <n v="1611"/>
    <x v="1"/>
    <x v="0"/>
    <x v="1"/>
    <x v="24"/>
    <n v="258.61958168464298"/>
    <n v="1"/>
    <x v="282"/>
    <x v="282"/>
    <s v="E-Wallet"/>
    <n v="181.03370717924989"/>
    <n v="0.30000000000000077"/>
    <m/>
  </r>
  <r>
    <s v="INV1284"/>
    <x v="2"/>
    <x v="1"/>
    <n v="2467"/>
    <x v="1"/>
    <x v="0"/>
    <x v="2"/>
    <x v="64"/>
    <n v="205.24146741281399"/>
    <n v="7"/>
    <x v="283"/>
    <x v="283"/>
    <s v="Credit Card"/>
    <n v="1005.683190322781"/>
    <n v="0.30000000000000138"/>
    <m/>
  </r>
  <r>
    <s v="INV1285"/>
    <x v="1"/>
    <x v="1"/>
    <n v="2355"/>
    <x v="1"/>
    <x v="1"/>
    <x v="3"/>
    <x v="37"/>
    <n v="128.35452647951701"/>
    <n v="6"/>
    <x v="284"/>
    <x v="284"/>
    <s v="E-Wallet"/>
    <n v="539.08901121397503"/>
    <n v="0.29999999999999893"/>
    <m/>
  </r>
  <r>
    <s v="INV1286"/>
    <x v="0"/>
    <x v="2"/>
    <n v="1502"/>
    <x v="1"/>
    <x v="0"/>
    <x v="3"/>
    <x v="68"/>
    <n v="266.829731630114"/>
    <n v="9"/>
    <x v="285"/>
    <x v="285"/>
    <s v="Cash"/>
    <n v="1681.0273092697121"/>
    <n v="0.30000000000000088"/>
    <m/>
  </r>
  <r>
    <s v="INV1287"/>
    <x v="1"/>
    <x v="0"/>
    <n v="1912"/>
    <x v="1"/>
    <x v="1"/>
    <x v="3"/>
    <x v="57"/>
    <n v="74.351133627468101"/>
    <n v="7"/>
    <x v="286"/>
    <x v="286"/>
    <s v="E-Wallet"/>
    <n v="364.32055477459301"/>
    <n v="0.30000000000000038"/>
    <m/>
  </r>
  <r>
    <s v="INV1288"/>
    <x v="2"/>
    <x v="2"/>
    <n v="1078"/>
    <x v="0"/>
    <x v="1"/>
    <x v="3"/>
    <x v="31"/>
    <n v="217.24596972353001"/>
    <n v="7"/>
    <x v="287"/>
    <x v="287"/>
    <s v="E-Wallet"/>
    <n v="1064.505251645297"/>
    <n v="0.3"/>
    <m/>
  </r>
  <r>
    <s v="INV1289"/>
    <x v="2"/>
    <x v="1"/>
    <n v="1584"/>
    <x v="1"/>
    <x v="0"/>
    <x v="4"/>
    <x v="31"/>
    <n v="265.65340193281901"/>
    <n v="2"/>
    <x v="288"/>
    <x v="288"/>
    <s v="Cash"/>
    <n v="371.91476270594808"/>
    <n v="0.2999999999999986"/>
    <m/>
  </r>
  <r>
    <s v="INV1290"/>
    <x v="0"/>
    <x v="2"/>
    <n v="1687"/>
    <x v="1"/>
    <x v="0"/>
    <x v="5"/>
    <x v="66"/>
    <n v="222.081790713955"/>
    <n v="9"/>
    <x v="289"/>
    <x v="289"/>
    <s v="Credit Card"/>
    <n v="1399.11528149792"/>
    <n v="0.29999999999999993"/>
    <m/>
  </r>
  <r>
    <s v="INV1291"/>
    <x v="2"/>
    <x v="0"/>
    <n v="1395"/>
    <x v="1"/>
    <x v="0"/>
    <x v="4"/>
    <x v="75"/>
    <n v="212.20987152561801"/>
    <n v="9"/>
    <x v="290"/>
    <x v="290"/>
    <s v="Cash"/>
    <n v="1336.922190611391"/>
    <n v="0.30000000000000054"/>
    <m/>
  </r>
  <r>
    <s v="INV1292"/>
    <x v="1"/>
    <x v="0"/>
    <n v="2126"/>
    <x v="1"/>
    <x v="0"/>
    <x v="4"/>
    <x v="84"/>
    <n v="228.26510528083199"/>
    <n v="6"/>
    <x v="291"/>
    <x v="291"/>
    <s v="E-Wallet"/>
    <n v="958.71344217949206"/>
    <n v="0.30000000000000071"/>
    <m/>
  </r>
  <r>
    <s v="INV1293"/>
    <x v="0"/>
    <x v="2"/>
    <n v="1401"/>
    <x v="1"/>
    <x v="1"/>
    <x v="2"/>
    <x v="75"/>
    <n v="144.86602200718599"/>
    <n v="3"/>
    <x v="292"/>
    <x v="292"/>
    <s v="Credit Card"/>
    <n v="304.21864621509201"/>
    <n v="0.29999999999999993"/>
    <m/>
  </r>
  <r>
    <s v="INV1294"/>
    <x v="1"/>
    <x v="2"/>
    <n v="1974"/>
    <x v="1"/>
    <x v="1"/>
    <x v="2"/>
    <x v="3"/>
    <n v="263.50949782553698"/>
    <n v="1"/>
    <x v="293"/>
    <x v="293"/>
    <s v="E-Wallet"/>
    <n v="184.45664847787577"/>
    <n v="0.30000000000000043"/>
    <m/>
  </r>
  <r>
    <s v="INV1295"/>
    <x v="1"/>
    <x v="2"/>
    <n v="1223"/>
    <x v="1"/>
    <x v="1"/>
    <x v="5"/>
    <x v="14"/>
    <n v="68.9965777894664"/>
    <n v="4"/>
    <x v="294"/>
    <x v="294"/>
    <s v="E-Wallet"/>
    <n v="193.19041781050527"/>
    <n v="0.30000000000000077"/>
    <m/>
  </r>
  <r>
    <s v="INV1296"/>
    <x v="2"/>
    <x v="1"/>
    <n v="1517"/>
    <x v="0"/>
    <x v="0"/>
    <x v="2"/>
    <x v="70"/>
    <n v="46.942060640098298"/>
    <n v="3"/>
    <x v="295"/>
    <x v="295"/>
    <s v="Cash"/>
    <n v="98.5783273442065"/>
    <n v="0.3"/>
    <m/>
  </r>
  <r>
    <s v="INV1297"/>
    <x v="2"/>
    <x v="2"/>
    <n v="1633"/>
    <x v="0"/>
    <x v="1"/>
    <x v="0"/>
    <x v="35"/>
    <n v="92.797546234368298"/>
    <n v="1"/>
    <x v="296"/>
    <x v="296"/>
    <s v="Cash"/>
    <n v="64.958282364057794"/>
    <n v="0.30000000000000016"/>
    <m/>
  </r>
  <r>
    <s v="INV1298"/>
    <x v="2"/>
    <x v="2"/>
    <n v="1235"/>
    <x v="1"/>
    <x v="0"/>
    <x v="5"/>
    <x v="6"/>
    <n v="164.157445064748"/>
    <n v="3"/>
    <x v="297"/>
    <x v="297"/>
    <s v="Credit Card"/>
    <n v="344.730634635971"/>
    <n v="0.2999999999999996"/>
    <m/>
  </r>
  <r>
    <s v="INV1299"/>
    <x v="2"/>
    <x v="2"/>
    <n v="2450"/>
    <x v="0"/>
    <x v="0"/>
    <x v="2"/>
    <x v="31"/>
    <n v="158.06292066870799"/>
    <n v="4"/>
    <x v="298"/>
    <x v="298"/>
    <s v="Credit Card"/>
    <n v="442.57617787238291"/>
    <n v="0.29999999999999916"/>
    <m/>
  </r>
  <r>
    <s v="INV1300"/>
    <x v="2"/>
    <x v="0"/>
    <n v="1115"/>
    <x v="0"/>
    <x v="0"/>
    <x v="5"/>
    <x v="44"/>
    <n v="247.97363972621"/>
    <n v="8"/>
    <x v="299"/>
    <x v="299"/>
    <s v="Credit Card"/>
    <n v="1388.6523824667761"/>
    <n v="0.29999999999999993"/>
    <m/>
  </r>
  <r>
    <s v="INV1301"/>
    <x v="0"/>
    <x v="0"/>
    <n v="2186"/>
    <x v="0"/>
    <x v="0"/>
    <x v="4"/>
    <x v="6"/>
    <n v="127.324910357165"/>
    <n v="9"/>
    <x v="300"/>
    <x v="300"/>
    <s v="E-Wallet"/>
    <n v="802.14693525013513"/>
    <n v="0.30000000000000077"/>
    <m/>
  </r>
  <r>
    <s v="INV1302"/>
    <x v="1"/>
    <x v="1"/>
    <n v="1225"/>
    <x v="0"/>
    <x v="0"/>
    <x v="4"/>
    <x v="69"/>
    <n v="150.45988362453701"/>
    <n v="3"/>
    <x v="301"/>
    <x v="301"/>
    <s v="Cash"/>
    <n v="315.96575561152895"/>
    <n v="0.29999999999999877"/>
    <m/>
  </r>
  <r>
    <s v="INV1303"/>
    <x v="1"/>
    <x v="1"/>
    <n v="1229"/>
    <x v="1"/>
    <x v="0"/>
    <x v="5"/>
    <x v="63"/>
    <n v="13.8766281452247"/>
    <n v="6"/>
    <x v="302"/>
    <x v="302"/>
    <s v="Cash"/>
    <n v="58.281838209943899"/>
    <n v="0.29999999999999977"/>
    <m/>
  </r>
  <r>
    <s v="INV1304"/>
    <x v="1"/>
    <x v="0"/>
    <n v="1181"/>
    <x v="0"/>
    <x v="1"/>
    <x v="0"/>
    <x v="0"/>
    <n v="128.824378568452"/>
    <n v="5"/>
    <x v="303"/>
    <x v="303"/>
    <s v="Cash"/>
    <n v="450.88532498958295"/>
    <n v="0.2999999999999996"/>
    <m/>
  </r>
  <r>
    <s v="INV1305"/>
    <x v="1"/>
    <x v="0"/>
    <n v="2272"/>
    <x v="0"/>
    <x v="0"/>
    <x v="0"/>
    <x v="82"/>
    <n v="197.85452755559899"/>
    <n v="6"/>
    <x v="304"/>
    <x v="304"/>
    <s v="Credit Card"/>
    <n v="830.98901573351202"/>
    <n v="0.30000000000000082"/>
    <m/>
  </r>
  <r>
    <s v="INV1306"/>
    <x v="2"/>
    <x v="0"/>
    <n v="2341"/>
    <x v="0"/>
    <x v="1"/>
    <x v="5"/>
    <x v="40"/>
    <n v="14.497415881711699"/>
    <n v="4"/>
    <x v="305"/>
    <x v="305"/>
    <s v="Cash"/>
    <n v="40.592764468792893"/>
    <n v="0.29999999999999888"/>
    <m/>
  </r>
  <r>
    <s v="INV1307"/>
    <x v="1"/>
    <x v="2"/>
    <n v="1209"/>
    <x v="1"/>
    <x v="1"/>
    <x v="2"/>
    <x v="36"/>
    <n v="91.455769904010694"/>
    <n v="6"/>
    <x v="306"/>
    <x v="306"/>
    <s v="Cash"/>
    <n v="384.114233596845"/>
    <n v="0.29999999999999966"/>
    <m/>
  </r>
  <r>
    <s v="INV1308"/>
    <x v="0"/>
    <x v="2"/>
    <n v="2415"/>
    <x v="1"/>
    <x v="0"/>
    <x v="1"/>
    <x v="86"/>
    <n v="70.307344193923001"/>
    <n v="7"/>
    <x v="307"/>
    <x v="307"/>
    <s v="Cash"/>
    <n v="344.50598655022299"/>
    <n v="0.29999999999999938"/>
    <m/>
  </r>
  <r>
    <s v="INV1309"/>
    <x v="0"/>
    <x v="0"/>
    <n v="1095"/>
    <x v="1"/>
    <x v="0"/>
    <x v="0"/>
    <x v="33"/>
    <n v="22.175774383780499"/>
    <n v="9"/>
    <x v="308"/>
    <x v="308"/>
    <s v="Credit Card"/>
    <n v="139.70737861781748"/>
    <n v="0.3000000000000001"/>
    <m/>
  </r>
  <r>
    <s v="INV1310"/>
    <x v="1"/>
    <x v="2"/>
    <n v="1893"/>
    <x v="1"/>
    <x v="0"/>
    <x v="3"/>
    <x v="62"/>
    <n v="148.985426075215"/>
    <n v="7"/>
    <x v="309"/>
    <x v="309"/>
    <s v="Cash"/>
    <n v="730.02858776855714"/>
    <n v="0.29999999999999993"/>
    <m/>
  </r>
  <r>
    <s v="INV1311"/>
    <x v="1"/>
    <x v="2"/>
    <n v="1755"/>
    <x v="1"/>
    <x v="1"/>
    <x v="4"/>
    <x v="17"/>
    <n v="62.6997550361653"/>
    <n v="6"/>
    <x v="310"/>
    <x v="310"/>
    <s v="Credit Card"/>
    <n v="263.33897115189501"/>
    <n v="0.29999999999999843"/>
    <m/>
  </r>
  <r>
    <s v="INV1312"/>
    <x v="0"/>
    <x v="1"/>
    <n v="2109"/>
    <x v="1"/>
    <x v="0"/>
    <x v="5"/>
    <x v="41"/>
    <n v="225.49364649309999"/>
    <n v="1"/>
    <x v="311"/>
    <x v="311"/>
    <s v="Cash"/>
    <n v="157.84555254516999"/>
    <n v="0.3"/>
    <m/>
  </r>
  <r>
    <s v="INV1313"/>
    <x v="0"/>
    <x v="0"/>
    <n v="1414"/>
    <x v="1"/>
    <x v="1"/>
    <x v="3"/>
    <x v="9"/>
    <n v="255.89908629137099"/>
    <n v="2"/>
    <x v="312"/>
    <x v="312"/>
    <s v="Cash"/>
    <n v="358.25872080791999"/>
    <n v="0.29999999999999882"/>
    <m/>
  </r>
  <r>
    <s v="INV1314"/>
    <x v="2"/>
    <x v="0"/>
    <n v="1393"/>
    <x v="0"/>
    <x v="0"/>
    <x v="5"/>
    <x v="36"/>
    <n v="168.21970297405201"/>
    <n v="1"/>
    <x v="313"/>
    <x v="313"/>
    <s v="Cash"/>
    <n v="117.75379208183621"/>
    <n v="0.30000000000000121"/>
    <m/>
  </r>
  <r>
    <s v="INV1315"/>
    <x v="0"/>
    <x v="2"/>
    <n v="1695"/>
    <x v="0"/>
    <x v="0"/>
    <x v="4"/>
    <x v="8"/>
    <n v="294.695129331131"/>
    <n v="9"/>
    <x v="314"/>
    <x v="314"/>
    <s v="Credit Card"/>
    <n v="1856.5793147861164"/>
    <n v="0.30000000000000104"/>
    <m/>
  </r>
  <r>
    <s v="INV1316"/>
    <x v="2"/>
    <x v="0"/>
    <n v="1843"/>
    <x v="0"/>
    <x v="1"/>
    <x v="4"/>
    <x v="29"/>
    <n v="140.63878572647201"/>
    <n v="9"/>
    <x v="315"/>
    <x v="315"/>
    <s v="Credit Card"/>
    <n v="886.024350076774"/>
    <n v="0.30000000000000082"/>
    <m/>
  </r>
  <r>
    <s v="INV1317"/>
    <x v="2"/>
    <x v="1"/>
    <n v="1603"/>
    <x v="1"/>
    <x v="1"/>
    <x v="0"/>
    <x v="5"/>
    <n v="158.87678096522501"/>
    <n v="7"/>
    <x v="316"/>
    <x v="316"/>
    <s v="Cash"/>
    <n v="778.49622672959686"/>
    <n v="0.30000000000000188"/>
    <m/>
  </r>
  <r>
    <s v="INV1318"/>
    <x v="2"/>
    <x v="1"/>
    <n v="1581"/>
    <x v="1"/>
    <x v="0"/>
    <x v="0"/>
    <x v="15"/>
    <n v="296.87314864774697"/>
    <n v="2"/>
    <x v="317"/>
    <x v="317"/>
    <s v="E-Wallet"/>
    <n v="415.62240810684693"/>
    <n v="0.29999999999999921"/>
    <m/>
  </r>
  <r>
    <s v="INV1319"/>
    <x v="2"/>
    <x v="1"/>
    <n v="1132"/>
    <x v="1"/>
    <x v="1"/>
    <x v="3"/>
    <x v="3"/>
    <n v="77.1490464298641"/>
    <n v="6"/>
    <x v="318"/>
    <x v="318"/>
    <s v="Credit Card"/>
    <n v="324.02599500542897"/>
    <n v="0.29999999999999966"/>
    <m/>
  </r>
  <r>
    <s v="INV1320"/>
    <x v="2"/>
    <x v="0"/>
    <n v="1790"/>
    <x v="1"/>
    <x v="1"/>
    <x v="5"/>
    <x v="56"/>
    <n v="283.33832250630201"/>
    <n v="4"/>
    <x v="319"/>
    <x v="319"/>
    <s v="Credit Card"/>
    <n v="793.34730301764705"/>
    <n v="0.3"/>
    <m/>
  </r>
  <r>
    <s v="INV1321"/>
    <x v="1"/>
    <x v="0"/>
    <n v="1648"/>
    <x v="1"/>
    <x v="1"/>
    <x v="4"/>
    <x v="5"/>
    <n v="22.4228909845428"/>
    <n v="1"/>
    <x v="320"/>
    <x v="320"/>
    <s v="Cash"/>
    <n v="15.696023689179949"/>
    <n v="0.30000000000000049"/>
    <m/>
  </r>
  <r>
    <s v="INV1322"/>
    <x v="0"/>
    <x v="0"/>
    <n v="2337"/>
    <x v="0"/>
    <x v="1"/>
    <x v="3"/>
    <x v="12"/>
    <n v="139.45219817632599"/>
    <n v="1"/>
    <x v="321"/>
    <x v="321"/>
    <s v="E-Wallet"/>
    <n v="97.616538723428093"/>
    <n v="0.30000000000000071"/>
    <m/>
  </r>
  <r>
    <s v="INV1323"/>
    <x v="2"/>
    <x v="0"/>
    <n v="1220"/>
    <x v="0"/>
    <x v="1"/>
    <x v="1"/>
    <x v="57"/>
    <n v="30.301018518589"/>
    <n v="5"/>
    <x v="322"/>
    <x v="322"/>
    <s v="Cash"/>
    <n v="106.05356481506141"/>
    <n v="0.30000000000000066"/>
    <m/>
  </r>
  <r>
    <s v="INV1324"/>
    <x v="0"/>
    <x v="0"/>
    <n v="1975"/>
    <x v="1"/>
    <x v="0"/>
    <x v="3"/>
    <x v="28"/>
    <n v="221.478075444956"/>
    <n v="2"/>
    <x v="323"/>
    <x v="323"/>
    <s v="Credit Card"/>
    <n v="310.069305622939"/>
    <n v="0.29999999999999866"/>
    <m/>
  </r>
  <r>
    <s v="INV1325"/>
    <x v="0"/>
    <x v="1"/>
    <n v="2461"/>
    <x v="1"/>
    <x v="0"/>
    <x v="2"/>
    <x v="27"/>
    <n v="186.43859140520499"/>
    <n v="4"/>
    <x v="324"/>
    <x v="324"/>
    <s v="Credit Card"/>
    <n v="522.02805593457401"/>
    <n v="0.29999999999999993"/>
    <m/>
  </r>
  <r>
    <s v="INV1326"/>
    <x v="2"/>
    <x v="2"/>
    <n v="2069"/>
    <x v="1"/>
    <x v="1"/>
    <x v="3"/>
    <x v="76"/>
    <n v="214.92393640560201"/>
    <n v="1"/>
    <x v="325"/>
    <x v="325"/>
    <s v="Cash"/>
    <n v="150.44675548392121"/>
    <n v="0.30000000000000093"/>
    <m/>
  </r>
  <r>
    <s v="INV1327"/>
    <x v="1"/>
    <x v="1"/>
    <n v="2215"/>
    <x v="1"/>
    <x v="0"/>
    <x v="2"/>
    <x v="36"/>
    <n v="118.59931599072399"/>
    <n v="4"/>
    <x v="326"/>
    <x v="326"/>
    <s v="Cash"/>
    <n v="332.07808477403"/>
    <n v="0.29999999999999849"/>
    <m/>
  </r>
  <r>
    <s v="INV1328"/>
    <x v="2"/>
    <x v="0"/>
    <n v="2402"/>
    <x v="0"/>
    <x v="0"/>
    <x v="2"/>
    <x v="56"/>
    <n v="117.14976086910001"/>
    <n v="6"/>
    <x v="327"/>
    <x v="327"/>
    <s v="E-Wallet"/>
    <n v="492.02899565022108"/>
    <n v="0.29999999999999949"/>
    <m/>
  </r>
  <r>
    <s v="INV1329"/>
    <x v="1"/>
    <x v="1"/>
    <n v="1787"/>
    <x v="1"/>
    <x v="1"/>
    <x v="2"/>
    <x v="24"/>
    <n v="23.1425908986594"/>
    <n v="4"/>
    <x v="328"/>
    <x v="328"/>
    <s v="E-Wallet"/>
    <n v="64.799254516246393"/>
    <n v="0.29999999999999993"/>
    <m/>
  </r>
  <r>
    <s v="INV1330"/>
    <x v="0"/>
    <x v="0"/>
    <n v="1690"/>
    <x v="1"/>
    <x v="0"/>
    <x v="1"/>
    <x v="87"/>
    <n v="111.484032463595"/>
    <n v="1"/>
    <x v="329"/>
    <x v="329"/>
    <s v="Credit Card"/>
    <n v="78.038822724516393"/>
    <n v="0.30000000000000093"/>
    <m/>
  </r>
  <r>
    <s v="INV1331"/>
    <x v="1"/>
    <x v="0"/>
    <n v="2357"/>
    <x v="1"/>
    <x v="1"/>
    <x v="3"/>
    <x v="7"/>
    <n v="279.49363665599702"/>
    <n v="7"/>
    <x v="330"/>
    <x v="330"/>
    <s v="E-Wallet"/>
    <n v="1369.5188196143858"/>
    <n v="0.3000000000000001"/>
    <m/>
  </r>
  <r>
    <s v="INV1332"/>
    <x v="1"/>
    <x v="1"/>
    <n v="1038"/>
    <x v="1"/>
    <x v="1"/>
    <x v="3"/>
    <x v="21"/>
    <n v="119.97569578233001"/>
    <n v="2"/>
    <x v="331"/>
    <x v="331"/>
    <s v="E-Wallet"/>
    <n v="167.96597409526191"/>
    <n v="0.30000000000000038"/>
    <m/>
  </r>
  <r>
    <s v="INV1333"/>
    <x v="1"/>
    <x v="0"/>
    <n v="2316"/>
    <x v="0"/>
    <x v="0"/>
    <x v="1"/>
    <x v="62"/>
    <n v="251.09663480437101"/>
    <n v="9"/>
    <x v="332"/>
    <x v="332"/>
    <s v="Credit Card"/>
    <n v="1581.9087992675379"/>
    <n v="0.30000000000000004"/>
    <m/>
  </r>
  <r>
    <s v="INV1334"/>
    <x v="0"/>
    <x v="2"/>
    <n v="1689"/>
    <x v="1"/>
    <x v="1"/>
    <x v="4"/>
    <x v="40"/>
    <n v="254.27439637748"/>
    <n v="3"/>
    <x v="333"/>
    <x v="333"/>
    <s v="Credit Card"/>
    <n v="533.97623239271002"/>
    <n v="0.29999999999999927"/>
    <m/>
  </r>
  <r>
    <s v="INV1335"/>
    <x v="0"/>
    <x v="0"/>
    <n v="1161"/>
    <x v="1"/>
    <x v="1"/>
    <x v="0"/>
    <x v="19"/>
    <n v="118.239935349977"/>
    <n v="8"/>
    <x v="334"/>
    <x v="334"/>
    <s v="Credit Card"/>
    <n v="662.14363795987606"/>
    <n v="0.29999999999999932"/>
    <m/>
  </r>
  <r>
    <s v="INV1336"/>
    <x v="1"/>
    <x v="2"/>
    <n v="2354"/>
    <x v="0"/>
    <x v="1"/>
    <x v="3"/>
    <x v="41"/>
    <n v="193.276717314894"/>
    <n v="8"/>
    <x v="335"/>
    <x v="335"/>
    <s v="Credit Card"/>
    <n v="1082.3496169634029"/>
    <n v="0.30000000000000132"/>
    <m/>
  </r>
  <r>
    <s v="INV1337"/>
    <x v="1"/>
    <x v="2"/>
    <n v="2127"/>
    <x v="0"/>
    <x v="1"/>
    <x v="0"/>
    <x v="52"/>
    <n v="37.657764659187002"/>
    <n v="3"/>
    <x v="336"/>
    <x v="336"/>
    <s v="Cash"/>
    <n v="79.081305784292709"/>
    <n v="0.29999999999999993"/>
    <m/>
  </r>
  <r>
    <s v="INV1338"/>
    <x v="2"/>
    <x v="0"/>
    <n v="1160"/>
    <x v="0"/>
    <x v="1"/>
    <x v="5"/>
    <x v="62"/>
    <n v="40.066788412940099"/>
    <n v="4"/>
    <x v="337"/>
    <x v="337"/>
    <s v="Credit Card"/>
    <n v="112.1870075562318"/>
    <n v="0.30000000000000121"/>
    <m/>
  </r>
  <r>
    <s v="INV1339"/>
    <x v="1"/>
    <x v="1"/>
    <n v="2077"/>
    <x v="1"/>
    <x v="0"/>
    <x v="5"/>
    <x v="45"/>
    <n v="24.110722461896799"/>
    <n v="2"/>
    <x v="338"/>
    <x v="338"/>
    <s v="Credit Card"/>
    <n v="33.755011446655601"/>
    <n v="0.29999999999999971"/>
    <m/>
  </r>
  <r>
    <s v="INV1340"/>
    <x v="2"/>
    <x v="2"/>
    <n v="2057"/>
    <x v="1"/>
    <x v="0"/>
    <x v="1"/>
    <x v="83"/>
    <n v="178.49437707878101"/>
    <n v="4"/>
    <x v="339"/>
    <x v="339"/>
    <s v="Credit Card"/>
    <n v="499.78425582058901"/>
    <n v="0.29999999999999988"/>
    <m/>
  </r>
  <r>
    <s v="INV1341"/>
    <x v="1"/>
    <x v="1"/>
    <n v="1241"/>
    <x v="0"/>
    <x v="1"/>
    <x v="5"/>
    <x v="6"/>
    <n v="133.56058351156801"/>
    <n v="9"/>
    <x v="340"/>
    <x v="340"/>
    <s v="E-Wallet"/>
    <n v="841.43167612287607"/>
    <n v="0.30000000000000082"/>
    <m/>
  </r>
  <r>
    <s v="INV1342"/>
    <x v="2"/>
    <x v="2"/>
    <n v="1966"/>
    <x v="0"/>
    <x v="1"/>
    <x v="5"/>
    <x v="41"/>
    <n v="168.92938343262901"/>
    <n v="2"/>
    <x v="341"/>
    <x v="341"/>
    <s v="Credit Card"/>
    <n v="236.50113680568199"/>
    <n v="0.29999999999999793"/>
    <m/>
  </r>
  <r>
    <s v="INV1343"/>
    <x v="0"/>
    <x v="0"/>
    <n v="1889"/>
    <x v="0"/>
    <x v="0"/>
    <x v="4"/>
    <x v="33"/>
    <n v="161.111225247432"/>
    <n v="3"/>
    <x v="342"/>
    <x v="342"/>
    <s v="Cash"/>
    <n v="338.33357301960797"/>
    <n v="0.29999999999999982"/>
    <m/>
  </r>
  <r>
    <s v="INV1344"/>
    <x v="1"/>
    <x v="0"/>
    <n v="1112"/>
    <x v="0"/>
    <x v="1"/>
    <x v="4"/>
    <x v="63"/>
    <n v="111.558867416311"/>
    <n v="4"/>
    <x v="343"/>
    <x v="343"/>
    <s v="Cash"/>
    <n v="312.364828765673"/>
    <n v="0.29999999999999982"/>
    <m/>
  </r>
  <r>
    <s v="INV1345"/>
    <x v="1"/>
    <x v="2"/>
    <n v="2013"/>
    <x v="0"/>
    <x v="0"/>
    <x v="4"/>
    <x v="73"/>
    <n v="206.467290298807"/>
    <n v="5"/>
    <x v="344"/>
    <x v="344"/>
    <s v="Credit Card"/>
    <n v="722.63551604581994"/>
    <n v="0.30000000000000099"/>
    <m/>
  </r>
  <r>
    <s v="INV1346"/>
    <x v="1"/>
    <x v="0"/>
    <n v="1317"/>
    <x v="0"/>
    <x v="1"/>
    <x v="5"/>
    <x v="75"/>
    <n v="229.965545465753"/>
    <n v="1"/>
    <x v="345"/>
    <x v="345"/>
    <s v="Cash"/>
    <n v="160.97588182602709"/>
    <n v="0.30000000000000004"/>
    <m/>
  </r>
  <r>
    <s v="INV1347"/>
    <x v="1"/>
    <x v="2"/>
    <n v="1022"/>
    <x v="1"/>
    <x v="1"/>
    <x v="1"/>
    <x v="59"/>
    <n v="14.242195074525901"/>
    <n v="7"/>
    <x v="346"/>
    <x v="346"/>
    <s v="E-Wallet"/>
    <n v="69.786755865177199"/>
    <n v="0.29999999999999988"/>
    <m/>
  </r>
  <r>
    <s v="INV1348"/>
    <x v="2"/>
    <x v="0"/>
    <n v="1823"/>
    <x v="1"/>
    <x v="1"/>
    <x v="2"/>
    <x v="69"/>
    <n v="70.100266932974705"/>
    <n v="7"/>
    <x v="347"/>
    <x v="347"/>
    <s v="Credit Card"/>
    <n v="343.49130797157602"/>
    <n v="0.29999999999999877"/>
    <m/>
  </r>
  <r>
    <s v="INV1349"/>
    <x v="1"/>
    <x v="1"/>
    <n v="2141"/>
    <x v="1"/>
    <x v="1"/>
    <x v="2"/>
    <x v="24"/>
    <n v="216.83840174416699"/>
    <n v="9"/>
    <x v="348"/>
    <x v="348"/>
    <s v="Cash"/>
    <n v="1366.0819309882479"/>
    <n v="0.30000000000000104"/>
    <m/>
  </r>
  <r>
    <s v="INV1350"/>
    <x v="0"/>
    <x v="0"/>
    <n v="1700"/>
    <x v="0"/>
    <x v="1"/>
    <x v="0"/>
    <x v="56"/>
    <n v="122.119850063811"/>
    <n v="4"/>
    <x v="349"/>
    <x v="349"/>
    <s v="Cash"/>
    <n v="341.93558017867304"/>
    <n v="0.29999999999999977"/>
    <m/>
  </r>
  <r>
    <s v="INV1351"/>
    <x v="0"/>
    <x v="1"/>
    <n v="2018"/>
    <x v="0"/>
    <x v="1"/>
    <x v="2"/>
    <x v="49"/>
    <n v="202.12034461306601"/>
    <n v="6"/>
    <x v="350"/>
    <x v="350"/>
    <s v="Credit Card"/>
    <n v="848.90544737487096"/>
    <n v="0.30000000000000165"/>
    <m/>
  </r>
  <r>
    <s v="INV1352"/>
    <x v="1"/>
    <x v="0"/>
    <n v="2235"/>
    <x v="0"/>
    <x v="1"/>
    <x v="2"/>
    <x v="80"/>
    <n v="110.61917132302101"/>
    <n v="2"/>
    <x v="351"/>
    <x v="351"/>
    <s v="Cash"/>
    <n v="154.86683985222993"/>
    <n v="0.30000000000000082"/>
    <m/>
  </r>
  <r>
    <s v="INV1353"/>
    <x v="0"/>
    <x v="1"/>
    <n v="2441"/>
    <x v="0"/>
    <x v="0"/>
    <x v="4"/>
    <x v="61"/>
    <n v="123.318994175594"/>
    <n v="4"/>
    <x v="352"/>
    <x v="352"/>
    <s v="Credit Card"/>
    <n v="345.293183691666"/>
    <n v="0.2999999999999986"/>
    <m/>
  </r>
  <r>
    <s v="INV1354"/>
    <x v="1"/>
    <x v="0"/>
    <n v="2136"/>
    <x v="0"/>
    <x v="0"/>
    <x v="4"/>
    <x v="18"/>
    <n v="56.016873370008597"/>
    <n v="2"/>
    <x v="353"/>
    <x v="353"/>
    <s v="Cash"/>
    <n v="78.423622718011899"/>
    <n v="0.3"/>
    <m/>
  </r>
  <r>
    <s v="INV1355"/>
    <x v="1"/>
    <x v="1"/>
    <n v="2067"/>
    <x v="0"/>
    <x v="0"/>
    <x v="5"/>
    <x v="26"/>
    <n v="84.8869957031864"/>
    <n v="5"/>
    <x v="354"/>
    <x v="354"/>
    <s v="E-Wallet"/>
    <n v="297.10448496115305"/>
    <n v="0.29999999999999849"/>
    <m/>
  </r>
  <r>
    <s v="INV1356"/>
    <x v="0"/>
    <x v="2"/>
    <n v="1127"/>
    <x v="1"/>
    <x v="1"/>
    <x v="0"/>
    <x v="20"/>
    <n v="185.56940967720001"/>
    <n v="7"/>
    <x v="355"/>
    <x v="355"/>
    <s v="Cash"/>
    <n v="909.29010741827994"/>
    <n v="0.30000000000000004"/>
    <m/>
  </r>
  <r>
    <s v="INV1357"/>
    <x v="1"/>
    <x v="2"/>
    <n v="1875"/>
    <x v="1"/>
    <x v="1"/>
    <x v="3"/>
    <x v="62"/>
    <n v="135.617302281398"/>
    <n v="1"/>
    <x v="356"/>
    <x v="356"/>
    <s v="Cash"/>
    <n v="94.932111596978586"/>
    <n v="0.3000000000000001"/>
    <m/>
  </r>
  <r>
    <s v="INV1358"/>
    <x v="0"/>
    <x v="1"/>
    <n v="1157"/>
    <x v="0"/>
    <x v="1"/>
    <x v="0"/>
    <x v="52"/>
    <n v="234.54777805393201"/>
    <n v="7"/>
    <x v="357"/>
    <x v="357"/>
    <s v="Credit Card"/>
    <n v="1149.2841124642619"/>
    <n v="0.30000000000000127"/>
    <m/>
  </r>
  <r>
    <s v="INV1359"/>
    <x v="2"/>
    <x v="0"/>
    <n v="1826"/>
    <x v="1"/>
    <x v="1"/>
    <x v="0"/>
    <x v="22"/>
    <n v="257.24963693211902"/>
    <n v="6"/>
    <x v="358"/>
    <x v="358"/>
    <s v="Cash"/>
    <n v="1080.4484751148959"/>
    <n v="0.30000000000000066"/>
    <m/>
  </r>
  <r>
    <s v="INV1360"/>
    <x v="1"/>
    <x v="1"/>
    <n v="2417"/>
    <x v="0"/>
    <x v="1"/>
    <x v="1"/>
    <x v="34"/>
    <n v="167.07746128286001"/>
    <n v="6"/>
    <x v="359"/>
    <x v="359"/>
    <s v="Credit Card"/>
    <n v="701.72533738801201"/>
    <n v="0.3"/>
    <m/>
  </r>
  <r>
    <s v="INV1361"/>
    <x v="2"/>
    <x v="0"/>
    <n v="1851"/>
    <x v="1"/>
    <x v="1"/>
    <x v="5"/>
    <x v="23"/>
    <n v="229.89751469625699"/>
    <n v="8"/>
    <x v="360"/>
    <x v="360"/>
    <s v="E-Wallet"/>
    <n v="1287.4260822990332"/>
    <n v="0.30000000000000099"/>
    <m/>
  </r>
  <r>
    <s v="INV1362"/>
    <x v="0"/>
    <x v="2"/>
    <n v="1511"/>
    <x v="0"/>
    <x v="1"/>
    <x v="1"/>
    <x v="38"/>
    <n v="99.002308826425306"/>
    <n v="8"/>
    <x v="361"/>
    <x v="361"/>
    <s v="Credit Card"/>
    <n v="554.41292942798202"/>
    <n v="0.29999999999999921"/>
    <m/>
  </r>
  <r>
    <s v="INV1363"/>
    <x v="2"/>
    <x v="0"/>
    <n v="1044"/>
    <x v="0"/>
    <x v="0"/>
    <x v="0"/>
    <x v="5"/>
    <n v="130.341652466022"/>
    <n v="6"/>
    <x v="362"/>
    <x v="362"/>
    <s v="Credit Card"/>
    <n v="547.434940357296"/>
    <n v="0.29999999999999899"/>
    <m/>
  </r>
  <r>
    <s v="INV1364"/>
    <x v="2"/>
    <x v="2"/>
    <n v="2131"/>
    <x v="1"/>
    <x v="1"/>
    <x v="0"/>
    <x v="55"/>
    <n v="216.70552610287999"/>
    <n v="3"/>
    <x v="363"/>
    <x v="363"/>
    <s v="Cash"/>
    <n v="455.08160481605"/>
    <n v="0.2999999999999991"/>
    <m/>
  </r>
  <r>
    <s v="INV1365"/>
    <x v="0"/>
    <x v="0"/>
    <n v="1218"/>
    <x v="1"/>
    <x v="0"/>
    <x v="0"/>
    <x v="46"/>
    <n v="122.001477916938"/>
    <n v="5"/>
    <x v="364"/>
    <x v="364"/>
    <s v="E-Wallet"/>
    <n v="427.005172709286"/>
    <n v="0.29999999999999966"/>
    <m/>
  </r>
  <r>
    <s v="INV1366"/>
    <x v="2"/>
    <x v="0"/>
    <n v="1442"/>
    <x v="0"/>
    <x v="0"/>
    <x v="2"/>
    <x v="55"/>
    <n v="180.666431196106"/>
    <n v="2"/>
    <x v="365"/>
    <x v="365"/>
    <s v="Credit Card"/>
    <n v="252.93300367454896"/>
    <n v="0.30000000000000032"/>
    <m/>
  </r>
  <r>
    <s v="INV1367"/>
    <x v="2"/>
    <x v="0"/>
    <n v="1314"/>
    <x v="0"/>
    <x v="1"/>
    <x v="1"/>
    <x v="18"/>
    <n v="63.758105933928299"/>
    <n v="5"/>
    <x v="366"/>
    <x v="366"/>
    <s v="Cash"/>
    <n v="223.15337076874849"/>
    <n v="0.30000000000000066"/>
    <m/>
  </r>
  <r>
    <s v="INV1368"/>
    <x v="0"/>
    <x v="1"/>
    <n v="1176"/>
    <x v="1"/>
    <x v="1"/>
    <x v="0"/>
    <x v="76"/>
    <n v="183.93368134144399"/>
    <n v="9"/>
    <x v="367"/>
    <x v="367"/>
    <s v="Cash"/>
    <n v="1158.7821924510911"/>
    <n v="0.30000000000000115"/>
    <m/>
  </r>
  <r>
    <s v="INV1369"/>
    <x v="2"/>
    <x v="1"/>
    <n v="1227"/>
    <x v="1"/>
    <x v="0"/>
    <x v="4"/>
    <x v="67"/>
    <n v="259.83897509579901"/>
    <n v="1"/>
    <x v="368"/>
    <x v="368"/>
    <s v="Credit Card"/>
    <n v="181.88728256705932"/>
    <n v="0.3"/>
    <m/>
  </r>
  <r>
    <s v="INV1370"/>
    <x v="0"/>
    <x v="2"/>
    <n v="1266"/>
    <x v="0"/>
    <x v="0"/>
    <x v="5"/>
    <x v="10"/>
    <n v="261.905495548793"/>
    <n v="5"/>
    <x v="369"/>
    <x v="369"/>
    <s v="Cash"/>
    <n v="916.66923442076995"/>
    <n v="0.30000000000000154"/>
    <m/>
  </r>
  <r>
    <s v="INV1371"/>
    <x v="2"/>
    <x v="2"/>
    <n v="1869"/>
    <x v="1"/>
    <x v="1"/>
    <x v="5"/>
    <x v="88"/>
    <n v="220.059877835566"/>
    <n v="6"/>
    <x v="370"/>
    <x v="370"/>
    <s v="Credit Card"/>
    <n v="924.25148690937112"/>
    <n v="0.30000000000000149"/>
    <m/>
  </r>
  <r>
    <s v="INV1372"/>
    <x v="0"/>
    <x v="1"/>
    <n v="1837"/>
    <x v="0"/>
    <x v="1"/>
    <x v="4"/>
    <x v="74"/>
    <n v="226.26847993207599"/>
    <n v="7"/>
    <x v="371"/>
    <x v="371"/>
    <s v="Credit Card"/>
    <n v="1108.7155516671701"/>
    <n v="0.30000000000000054"/>
    <m/>
  </r>
  <r>
    <s v="INV1373"/>
    <x v="0"/>
    <x v="2"/>
    <n v="2402"/>
    <x v="0"/>
    <x v="0"/>
    <x v="5"/>
    <x v="44"/>
    <n v="171.79895909370299"/>
    <n v="9"/>
    <x v="372"/>
    <x v="372"/>
    <s v="Credit Card"/>
    <n v="1082.333442290322"/>
    <n v="0.30000000000000132"/>
    <m/>
  </r>
  <r>
    <s v="INV1374"/>
    <x v="2"/>
    <x v="1"/>
    <n v="1488"/>
    <x v="0"/>
    <x v="1"/>
    <x v="2"/>
    <x v="78"/>
    <n v="179.553746148089"/>
    <n v="6"/>
    <x v="373"/>
    <x v="373"/>
    <s v="E-Wallet"/>
    <n v="754.12573382197002"/>
    <n v="0.30000000000000093"/>
    <m/>
  </r>
  <r>
    <s v="INV1375"/>
    <x v="2"/>
    <x v="0"/>
    <n v="1701"/>
    <x v="0"/>
    <x v="1"/>
    <x v="2"/>
    <x v="59"/>
    <n v="48.758668609050197"/>
    <n v="5"/>
    <x v="374"/>
    <x v="374"/>
    <s v="Credit Card"/>
    <n v="170.6553401316757"/>
    <n v="0.3"/>
    <m/>
  </r>
  <r>
    <s v="INV1376"/>
    <x v="2"/>
    <x v="2"/>
    <n v="1686"/>
    <x v="1"/>
    <x v="1"/>
    <x v="3"/>
    <x v="85"/>
    <n v="138.71916464217699"/>
    <n v="7"/>
    <x v="375"/>
    <x v="375"/>
    <s v="Cash"/>
    <n v="679.72390674666894"/>
    <n v="0.29999999999999971"/>
    <m/>
  </r>
  <r>
    <s v="INV1377"/>
    <x v="1"/>
    <x v="2"/>
    <n v="2313"/>
    <x v="1"/>
    <x v="0"/>
    <x v="3"/>
    <x v="41"/>
    <n v="140.725122327045"/>
    <n v="1"/>
    <x v="376"/>
    <x v="376"/>
    <s v="E-Wallet"/>
    <n v="98.507585628931395"/>
    <n v="0.30000000000000077"/>
    <m/>
  </r>
  <r>
    <s v="INV1378"/>
    <x v="1"/>
    <x v="1"/>
    <n v="1995"/>
    <x v="1"/>
    <x v="0"/>
    <x v="3"/>
    <x v="36"/>
    <n v="287.96437234364402"/>
    <n v="5"/>
    <x v="377"/>
    <x v="377"/>
    <s v="Cash"/>
    <n v="1007.8753032027539"/>
    <n v="0.3"/>
    <m/>
  </r>
  <r>
    <s v="INV1379"/>
    <x v="1"/>
    <x v="2"/>
    <n v="1356"/>
    <x v="1"/>
    <x v="0"/>
    <x v="5"/>
    <x v="89"/>
    <n v="135.01519016075301"/>
    <n v="2"/>
    <x v="378"/>
    <x v="378"/>
    <s v="E-Wallet"/>
    <n v="189.02126622505469"/>
    <n v="0.30000000000000071"/>
    <m/>
  </r>
  <r>
    <s v="INV1380"/>
    <x v="0"/>
    <x v="2"/>
    <n v="1871"/>
    <x v="1"/>
    <x v="1"/>
    <x v="2"/>
    <x v="57"/>
    <n v="169.30936702179901"/>
    <n v="4"/>
    <x v="379"/>
    <x v="379"/>
    <s v="E-Wallet"/>
    <n v="474.06622766103897"/>
    <n v="0.29999999999999943"/>
    <m/>
  </r>
  <r>
    <s v="INV1381"/>
    <x v="2"/>
    <x v="0"/>
    <n v="1203"/>
    <x v="1"/>
    <x v="1"/>
    <x v="2"/>
    <x v="73"/>
    <n v="164.64290579093901"/>
    <n v="7"/>
    <x v="380"/>
    <x v="380"/>
    <s v="E-Wallet"/>
    <n v="806.75023837559706"/>
    <n v="0.30000000000000171"/>
    <m/>
  </r>
  <r>
    <s v="INV1382"/>
    <x v="0"/>
    <x v="2"/>
    <n v="2236"/>
    <x v="1"/>
    <x v="0"/>
    <x v="2"/>
    <x v="67"/>
    <n v="194.66089794285401"/>
    <n v="5"/>
    <x v="381"/>
    <x v="381"/>
    <s v="E-Wallet"/>
    <n v="681.31314279999197"/>
    <n v="0.29999999999999988"/>
    <m/>
  </r>
  <r>
    <s v="INV1383"/>
    <x v="1"/>
    <x v="0"/>
    <n v="1551"/>
    <x v="0"/>
    <x v="0"/>
    <x v="4"/>
    <x v="22"/>
    <n v="226.98752108624899"/>
    <n v="6"/>
    <x v="382"/>
    <x v="382"/>
    <s v="Cash"/>
    <n v="953.34758856224107"/>
    <n v="0.30000000000000143"/>
    <m/>
  </r>
  <r>
    <s v="INV1384"/>
    <x v="2"/>
    <x v="1"/>
    <n v="1322"/>
    <x v="1"/>
    <x v="0"/>
    <x v="2"/>
    <x v="77"/>
    <n v="75.262144089552905"/>
    <n v="2"/>
    <x v="383"/>
    <x v="383"/>
    <s v="Credit Card"/>
    <n v="105.36700172537331"/>
    <n v="0.30000000000000132"/>
    <m/>
  </r>
  <r>
    <s v="INV1385"/>
    <x v="0"/>
    <x v="2"/>
    <n v="1593"/>
    <x v="1"/>
    <x v="1"/>
    <x v="4"/>
    <x v="43"/>
    <n v="163.33008153854601"/>
    <n v="3"/>
    <x v="384"/>
    <x v="384"/>
    <s v="Cash"/>
    <n v="342.99317123094806"/>
    <n v="0.29999999999999849"/>
    <m/>
  </r>
  <r>
    <s v="INV1386"/>
    <x v="2"/>
    <x v="0"/>
    <n v="1180"/>
    <x v="0"/>
    <x v="0"/>
    <x v="3"/>
    <x v="60"/>
    <n v="249.51613512164801"/>
    <n v="7"/>
    <x v="385"/>
    <x v="385"/>
    <s v="Credit Card"/>
    <n v="1222.6290620960781"/>
    <n v="0.29999999999999993"/>
    <m/>
  </r>
  <r>
    <s v="INV1387"/>
    <x v="0"/>
    <x v="1"/>
    <n v="1498"/>
    <x v="1"/>
    <x v="0"/>
    <x v="3"/>
    <x v="26"/>
    <n v="144.303267012878"/>
    <n v="2"/>
    <x v="386"/>
    <x v="386"/>
    <s v="Cash"/>
    <n v="202.02457381802901"/>
    <n v="0.30000000000000066"/>
    <m/>
  </r>
  <r>
    <s v="INV1388"/>
    <x v="2"/>
    <x v="2"/>
    <n v="2343"/>
    <x v="1"/>
    <x v="1"/>
    <x v="5"/>
    <x v="18"/>
    <n v="90.752688448336102"/>
    <n v="6"/>
    <x v="387"/>
    <x v="387"/>
    <s v="E-Wallet"/>
    <n v="381.16129148301201"/>
    <n v="0.29999999999999982"/>
    <m/>
  </r>
  <r>
    <s v="INV1389"/>
    <x v="1"/>
    <x v="1"/>
    <n v="1082"/>
    <x v="0"/>
    <x v="1"/>
    <x v="3"/>
    <x v="8"/>
    <n v="199.86563185332599"/>
    <n v="5"/>
    <x v="388"/>
    <x v="388"/>
    <s v="E-Wallet"/>
    <n v="699.52971148664301"/>
    <n v="0.30000000000000004"/>
    <m/>
  </r>
  <r>
    <s v="INV1390"/>
    <x v="1"/>
    <x v="2"/>
    <n v="1302"/>
    <x v="1"/>
    <x v="1"/>
    <x v="5"/>
    <x v="19"/>
    <n v="248.89254478174499"/>
    <n v="1"/>
    <x v="389"/>
    <x v="389"/>
    <s v="Credit Card"/>
    <n v="174.22478134722138"/>
    <n v="0.30000000000000043"/>
    <m/>
  </r>
  <r>
    <s v="INV1391"/>
    <x v="2"/>
    <x v="1"/>
    <n v="1261"/>
    <x v="1"/>
    <x v="0"/>
    <x v="0"/>
    <x v="27"/>
    <n v="28.3106849489434"/>
    <n v="4"/>
    <x v="390"/>
    <x v="390"/>
    <s v="Credit Card"/>
    <n v="79.269917857040895"/>
    <n v="0.30000000000000182"/>
    <m/>
  </r>
  <r>
    <s v="INV1392"/>
    <x v="0"/>
    <x v="1"/>
    <n v="1783"/>
    <x v="1"/>
    <x v="1"/>
    <x v="0"/>
    <x v="16"/>
    <n v="235.26924018809501"/>
    <n v="2"/>
    <x v="391"/>
    <x v="391"/>
    <s v="Cash"/>
    <n v="329.37693626333396"/>
    <n v="0.29999999999999943"/>
    <m/>
  </r>
  <r>
    <s v="INV1393"/>
    <x v="1"/>
    <x v="0"/>
    <n v="2223"/>
    <x v="0"/>
    <x v="1"/>
    <x v="1"/>
    <x v="46"/>
    <n v="248.27790055891299"/>
    <n v="4"/>
    <x v="392"/>
    <x v="392"/>
    <s v="Credit Card"/>
    <n v="695.17812156495802"/>
    <n v="0.29999999999999977"/>
    <m/>
  </r>
  <r>
    <s v="INV1394"/>
    <x v="1"/>
    <x v="1"/>
    <n v="2263"/>
    <x v="1"/>
    <x v="0"/>
    <x v="5"/>
    <x v="53"/>
    <n v="143.84164900069501"/>
    <n v="1"/>
    <x v="393"/>
    <x v="393"/>
    <s v="Cash"/>
    <n v="100.68915430048631"/>
    <n v="0.30000000000000138"/>
    <m/>
  </r>
  <r>
    <s v="INV1395"/>
    <x v="1"/>
    <x v="2"/>
    <n v="1913"/>
    <x v="1"/>
    <x v="1"/>
    <x v="1"/>
    <x v="84"/>
    <n v="295.15864047735499"/>
    <n v="2"/>
    <x v="394"/>
    <x v="394"/>
    <s v="Credit Card"/>
    <n v="413.22209666829804"/>
    <n v="0.29999999999999943"/>
    <m/>
  </r>
  <r>
    <s v="INV1396"/>
    <x v="2"/>
    <x v="2"/>
    <n v="1691"/>
    <x v="0"/>
    <x v="0"/>
    <x v="1"/>
    <x v="8"/>
    <n v="238.14541880511899"/>
    <n v="8"/>
    <x v="395"/>
    <x v="395"/>
    <s v="Credit Card"/>
    <n v="1333.6143453086629"/>
    <n v="0.30000000000000104"/>
    <m/>
  </r>
  <r>
    <s v="INV1397"/>
    <x v="2"/>
    <x v="0"/>
    <n v="1943"/>
    <x v="1"/>
    <x v="0"/>
    <x v="0"/>
    <x v="19"/>
    <n v="234.36214381974301"/>
    <n v="6"/>
    <x v="396"/>
    <x v="396"/>
    <s v="Credit Card"/>
    <n v="984.32100404291293"/>
    <n v="0.30000000000000143"/>
    <m/>
  </r>
  <r>
    <s v="INV1398"/>
    <x v="0"/>
    <x v="2"/>
    <n v="1682"/>
    <x v="0"/>
    <x v="1"/>
    <x v="5"/>
    <x v="64"/>
    <n v="226.87318657949999"/>
    <n v="2"/>
    <x v="397"/>
    <x v="397"/>
    <s v="E-Wallet"/>
    <n v="317.62246121130102"/>
    <n v="0.29999999999999932"/>
    <m/>
  </r>
  <r>
    <s v="INV1399"/>
    <x v="0"/>
    <x v="2"/>
    <n v="2318"/>
    <x v="0"/>
    <x v="1"/>
    <x v="0"/>
    <x v="57"/>
    <n v="53.676349933299399"/>
    <n v="6"/>
    <x v="398"/>
    <x v="398"/>
    <s v="E-Wallet"/>
    <n v="225.440669719857"/>
    <n v="0.3000000000000006"/>
    <m/>
  </r>
  <r>
    <s v="INV1400"/>
    <x v="0"/>
    <x v="2"/>
    <n v="1688"/>
    <x v="1"/>
    <x v="1"/>
    <x v="1"/>
    <x v="26"/>
    <n v="72.996957071373103"/>
    <n v="9"/>
    <x v="399"/>
    <x v="399"/>
    <s v="Cash"/>
    <n v="459.88082954965103"/>
    <n v="0.29999999999999943"/>
    <m/>
  </r>
  <r>
    <s v="INV1401"/>
    <x v="2"/>
    <x v="1"/>
    <n v="1395"/>
    <x v="0"/>
    <x v="1"/>
    <x v="5"/>
    <x v="33"/>
    <n v="144.55713812468301"/>
    <n v="7"/>
    <x v="400"/>
    <x v="400"/>
    <s v="Credit Card"/>
    <n v="708.32997681094605"/>
    <n v="0.3"/>
    <m/>
  </r>
  <r>
    <s v="INV1402"/>
    <x v="2"/>
    <x v="1"/>
    <n v="2161"/>
    <x v="0"/>
    <x v="1"/>
    <x v="1"/>
    <x v="8"/>
    <n v="86.561261488245094"/>
    <n v="9"/>
    <x v="401"/>
    <x v="401"/>
    <s v="Cash"/>
    <n v="545.33594737594501"/>
    <n v="0.29999999999999893"/>
    <m/>
  </r>
  <r>
    <s v="INV1403"/>
    <x v="0"/>
    <x v="2"/>
    <n v="1838"/>
    <x v="1"/>
    <x v="1"/>
    <x v="2"/>
    <x v="65"/>
    <n v="130.41988197687101"/>
    <n v="5"/>
    <x v="402"/>
    <x v="402"/>
    <s v="Credit Card"/>
    <n v="456.46958691905104"/>
    <n v="0.29999999999999932"/>
    <m/>
  </r>
  <r>
    <s v="INV1404"/>
    <x v="0"/>
    <x v="0"/>
    <n v="1877"/>
    <x v="0"/>
    <x v="0"/>
    <x v="5"/>
    <x v="76"/>
    <n v="267.65459187764702"/>
    <n v="7"/>
    <x v="403"/>
    <x v="403"/>
    <s v="E-Wallet"/>
    <n v="1311.5075002004619"/>
    <n v="0.3000000000000011"/>
    <m/>
  </r>
  <r>
    <s v="INV1405"/>
    <x v="2"/>
    <x v="1"/>
    <n v="1822"/>
    <x v="0"/>
    <x v="0"/>
    <x v="5"/>
    <x v="34"/>
    <n v="249.05479864498801"/>
    <n v="7"/>
    <x v="404"/>
    <x v="404"/>
    <s v="E-Wallet"/>
    <n v="1220.3685133604351"/>
    <n v="0.3000000000000011"/>
    <m/>
  </r>
  <r>
    <s v="INV1406"/>
    <x v="0"/>
    <x v="0"/>
    <n v="2152"/>
    <x v="1"/>
    <x v="1"/>
    <x v="1"/>
    <x v="1"/>
    <n v="192.711564759194"/>
    <n v="3"/>
    <x v="405"/>
    <x v="405"/>
    <s v="Credit Card"/>
    <n v="404.69428599430898"/>
    <n v="0.29999999999999971"/>
    <m/>
  </r>
  <r>
    <s v="INV1407"/>
    <x v="1"/>
    <x v="2"/>
    <n v="1048"/>
    <x v="1"/>
    <x v="0"/>
    <x v="2"/>
    <x v="47"/>
    <n v="258.85491433281999"/>
    <n v="7"/>
    <x v="406"/>
    <x v="406"/>
    <s v="Credit Card"/>
    <n v="1268.3890802308181"/>
    <n v="0.3"/>
    <m/>
  </r>
  <r>
    <s v="INV1408"/>
    <x v="2"/>
    <x v="2"/>
    <n v="1788"/>
    <x v="1"/>
    <x v="1"/>
    <x v="4"/>
    <x v="12"/>
    <n v="237.29399281500201"/>
    <n v="1"/>
    <x v="407"/>
    <x v="407"/>
    <s v="E-Wallet"/>
    <n v="166.10579497050139"/>
    <n v="0.30000000000000004"/>
    <m/>
  </r>
  <r>
    <s v="INV1409"/>
    <x v="0"/>
    <x v="1"/>
    <n v="1292"/>
    <x v="0"/>
    <x v="0"/>
    <x v="0"/>
    <x v="13"/>
    <n v="134.40563023385801"/>
    <n v="9"/>
    <x v="408"/>
    <x v="408"/>
    <s v="E-Wallet"/>
    <n v="846.75547047330292"/>
    <n v="0.30000000000000082"/>
    <m/>
  </r>
  <r>
    <s v="INV1410"/>
    <x v="2"/>
    <x v="2"/>
    <n v="1535"/>
    <x v="1"/>
    <x v="0"/>
    <x v="1"/>
    <x v="22"/>
    <n v="68.308894094484003"/>
    <n v="6"/>
    <x v="409"/>
    <x v="409"/>
    <s v="Cash"/>
    <n v="286.89735519683302"/>
    <n v="0.29999999999999949"/>
    <m/>
  </r>
  <r>
    <s v="INV1411"/>
    <x v="1"/>
    <x v="1"/>
    <n v="1310"/>
    <x v="0"/>
    <x v="0"/>
    <x v="5"/>
    <x v="89"/>
    <n v="159.11830160270799"/>
    <n v="5"/>
    <x v="410"/>
    <x v="410"/>
    <s v="E-Wallet"/>
    <n v="556.91405560947896"/>
    <n v="0.29999999999999966"/>
    <m/>
  </r>
  <r>
    <s v="INV1412"/>
    <x v="2"/>
    <x v="2"/>
    <n v="1536"/>
    <x v="0"/>
    <x v="1"/>
    <x v="0"/>
    <x v="27"/>
    <n v="223.506375933279"/>
    <n v="7"/>
    <x v="411"/>
    <x v="411"/>
    <s v="Credit Card"/>
    <n v="1095.181242073063"/>
    <n v="0.30000000000000127"/>
    <m/>
  </r>
  <r>
    <s v="INV1413"/>
    <x v="2"/>
    <x v="2"/>
    <n v="1638"/>
    <x v="0"/>
    <x v="0"/>
    <x v="0"/>
    <x v="3"/>
    <n v="136.56168363158099"/>
    <n v="5"/>
    <x v="412"/>
    <x v="412"/>
    <s v="Cash"/>
    <n v="477.96589271053705"/>
    <n v="0.29999999999999893"/>
    <m/>
  </r>
  <r>
    <s v="INV1414"/>
    <x v="2"/>
    <x v="1"/>
    <n v="1233"/>
    <x v="0"/>
    <x v="1"/>
    <x v="0"/>
    <x v="56"/>
    <n v="203.36385383733"/>
    <n v="5"/>
    <x v="413"/>
    <x v="413"/>
    <s v="Credit Card"/>
    <n v="711.77348843065499"/>
    <n v="0.3"/>
    <m/>
  </r>
  <r>
    <s v="INV1415"/>
    <x v="2"/>
    <x v="1"/>
    <n v="2232"/>
    <x v="0"/>
    <x v="0"/>
    <x v="4"/>
    <x v="53"/>
    <n v="37.354953624402597"/>
    <n v="7"/>
    <x v="414"/>
    <x v="414"/>
    <s v="Cash"/>
    <n v="183.03927275957253"/>
    <n v="0.30000000000000032"/>
    <m/>
  </r>
  <r>
    <s v="INV1416"/>
    <x v="1"/>
    <x v="1"/>
    <n v="1604"/>
    <x v="0"/>
    <x v="0"/>
    <x v="3"/>
    <x v="11"/>
    <n v="226.92137354770699"/>
    <n v="7"/>
    <x v="415"/>
    <x v="415"/>
    <s v="Credit Card"/>
    <n v="1111.9147303837558"/>
    <n v="0.30000000000000132"/>
    <m/>
  </r>
  <r>
    <s v="INV1417"/>
    <x v="2"/>
    <x v="2"/>
    <n v="1093"/>
    <x v="0"/>
    <x v="0"/>
    <x v="1"/>
    <x v="59"/>
    <n v="245.68694976898701"/>
    <n v="3"/>
    <x v="416"/>
    <x v="416"/>
    <s v="E-Wallet"/>
    <n v="515.94259451487494"/>
    <n v="0.29999999999999977"/>
    <m/>
  </r>
  <r>
    <s v="INV1418"/>
    <x v="2"/>
    <x v="2"/>
    <n v="1326"/>
    <x v="1"/>
    <x v="0"/>
    <x v="3"/>
    <x v="39"/>
    <n v="214.982978176356"/>
    <n v="3"/>
    <x v="417"/>
    <x v="417"/>
    <s v="Credit Card"/>
    <n v="451.46425417034902"/>
    <n v="0.3"/>
    <m/>
  </r>
  <r>
    <s v="INV1419"/>
    <x v="0"/>
    <x v="0"/>
    <n v="1224"/>
    <x v="1"/>
    <x v="0"/>
    <x v="3"/>
    <x v="13"/>
    <n v="290.50644038264602"/>
    <n v="3"/>
    <x v="418"/>
    <x v="418"/>
    <s v="Cash"/>
    <n v="610.0635248035569"/>
    <n v="0.2999999999999996"/>
    <m/>
  </r>
  <r>
    <s v="INV1420"/>
    <x v="2"/>
    <x v="1"/>
    <n v="1966"/>
    <x v="0"/>
    <x v="1"/>
    <x v="3"/>
    <x v="64"/>
    <n v="249.72909666358501"/>
    <n v="6"/>
    <x v="419"/>
    <x v="419"/>
    <s v="Credit Card"/>
    <n v="1048.8622059870559"/>
    <n v="0.30000000000000071"/>
    <m/>
  </r>
  <r>
    <s v="INV1421"/>
    <x v="0"/>
    <x v="2"/>
    <n v="1889"/>
    <x v="0"/>
    <x v="1"/>
    <x v="0"/>
    <x v="34"/>
    <n v="271.89718108419601"/>
    <n v="6"/>
    <x v="420"/>
    <x v="420"/>
    <s v="Cash"/>
    <n v="1141.9681605536171"/>
    <n v="0.30000000000000121"/>
    <m/>
  </r>
  <r>
    <s v="INV1422"/>
    <x v="1"/>
    <x v="2"/>
    <n v="1010"/>
    <x v="1"/>
    <x v="0"/>
    <x v="2"/>
    <x v="16"/>
    <n v="280.73561420271699"/>
    <n v="3"/>
    <x v="421"/>
    <x v="421"/>
    <s v="Credit Card"/>
    <n v="589.54478982570697"/>
    <n v="0.30000000000000016"/>
    <m/>
  </r>
  <r>
    <s v="INV1423"/>
    <x v="1"/>
    <x v="1"/>
    <n v="2352"/>
    <x v="0"/>
    <x v="0"/>
    <x v="0"/>
    <x v="12"/>
    <n v="242.39091764340401"/>
    <n v="3"/>
    <x v="422"/>
    <x v="422"/>
    <s v="E-Wallet"/>
    <n v="509.02092705114904"/>
    <n v="0.3000000000000001"/>
    <m/>
  </r>
  <r>
    <s v="INV1424"/>
    <x v="1"/>
    <x v="0"/>
    <n v="2035"/>
    <x v="1"/>
    <x v="0"/>
    <x v="0"/>
    <x v="13"/>
    <n v="205.535064181884"/>
    <n v="8"/>
    <x v="423"/>
    <x v="423"/>
    <s v="E-Wallet"/>
    <n v="1150.9963594185469"/>
    <n v="0.30000000000000121"/>
    <m/>
  </r>
  <r>
    <s v="INV1425"/>
    <x v="1"/>
    <x v="1"/>
    <n v="1034"/>
    <x v="1"/>
    <x v="0"/>
    <x v="5"/>
    <x v="40"/>
    <n v="11.6583885946288"/>
    <n v="8"/>
    <x v="424"/>
    <x v="424"/>
    <s v="Credit Card"/>
    <n v="65.286976129921797"/>
    <n v="0.29999999999999966"/>
    <m/>
  </r>
  <r>
    <s v="INV1426"/>
    <x v="0"/>
    <x v="0"/>
    <n v="1446"/>
    <x v="1"/>
    <x v="1"/>
    <x v="5"/>
    <x v="82"/>
    <n v="145.08946843470599"/>
    <n v="7"/>
    <x v="425"/>
    <x v="425"/>
    <s v="Credit Card"/>
    <n v="710.93839533005803"/>
    <n v="0.3"/>
    <m/>
  </r>
  <r>
    <s v="INV1427"/>
    <x v="2"/>
    <x v="2"/>
    <n v="2475"/>
    <x v="0"/>
    <x v="0"/>
    <x v="3"/>
    <x v="88"/>
    <n v="175.63706660048399"/>
    <n v="4"/>
    <x v="426"/>
    <x v="426"/>
    <s v="Credit Card"/>
    <n v="491.78378648135697"/>
    <n v="0.29999999999999949"/>
    <m/>
  </r>
  <r>
    <s v="INV1428"/>
    <x v="1"/>
    <x v="0"/>
    <n v="2243"/>
    <x v="0"/>
    <x v="1"/>
    <x v="0"/>
    <x v="50"/>
    <n v="98.168779009919803"/>
    <n v="4"/>
    <x v="427"/>
    <x v="427"/>
    <s v="Cash"/>
    <n v="274.87258122777598"/>
    <n v="0.29999999999999821"/>
    <m/>
  </r>
  <r>
    <s v="INV1429"/>
    <x v="2"/>
    <x v="2"/>
    <n v="1440"/>
    <x v="1"/>
    <x v="0"/>
    <x v="3"/>
    <x v="80"/>
    <n v="102.25028960200601"/>
    <n v="3"/>
    <x v="428"/>
    <x v="428"/>
    <s v="Credit Card"/>
    <n v="214.72560816421378"/>
    <n v="0.30000000000000066"/>
    <m/>
  </r>
  <r>
    <s v="INV1430"/>
    <x v="0"/>
    <x v="1"/>
    <n v="1652"/>
    <x v="1"/>
    <x v="1"/>
    <x v="5"/>
    <x v="57"/>
    <n v="288.73623055594697"/>
    <n v="5"/>
    <x v="429"/>
    <x v="429"/>
    <s v="Credit Card"/>
    <n v="1010.5768069458089"/>
    <n v="0.30000000000000138"/>
    <m/>
  </r>
  <r>
    <s v="INV1431"/>
    <x v="0"/>
    <x v="1"/>
    <n v="1594"/>
    <x v="1"/>
    <x v="0"/>
    <x v="2"/>
    <x v="66"/>
    <n v="268.59615090879601"/>
    <n v="3"/>
    <x v="430"/>
    <x v="430"/>
    <s v="Cash"/>
    <n v="564.05191690847198"/>
    <n v="0.29999999999999949"/>
    <m/>
  </r>
  <r>
    <s v="INV1432"/>
    <x v="0"/>
    <x v="1"/>
    <n v="1228"/>
    <x v="1"/>
    <x v="0"/>
    <x v="1"/>
    <x v="81"/>
    <n v="256.26191159549398"/>
    <n v="8"/>
    <x v="431"/>
    <x v="431"/>
    <s v="E-Wallet"/>
    <n v="1435.0667049347639"/>
    <n v="0.30000000000000054"/>
    <m/>
  </r>
  <r>
    <s v="INV1433"/>
    <x v="1"/>
    <x v="0"/>
    <n v="1343"/>
    <x v="1"/>
    <x v="1"/>
    <x v="3"/>
    <x v="76"/>
    <n v="127.74342249477201"/>
    <n v="7"/>
    <x v="432"/>
    <x v="432"/>
    <s v="Credit Card"/>
    <n v="625.94277022438291"/>
    <n v="0.29999999999999988"/>
    <m/>
  </r>
  <r>
    <s v="INV1434"/>
    <x v="2"/>
    <x v="2"/>
    <n v="2103"/>
    <x v="0"/>
    <x v="0"/>
    <x v="2"/>
    <x v="40"/>
    <n v="13.9725796185852"/>
    <n v="3"/>
    <x v="433"/>
    <x v="433"/>
    <s v="Credit Card"/>
    <n v="29.342417199029001"/>
    <n v="0.2999999999999981"/>
    <m/>
  </r>
  <r>
    <s v="INV1435"/>
    <x v="2"/>
    <x v="1"/>
    <n v="2376"/>
    <x v="1"/>
    <x v="0"/>
    <x v="1"/>
    <x v="34"/>
    <n v="33.264451472156999"/>
    <n v="9"/>
    <x v="434"/>
    <x v="434"/>
    <s v="E-Wallet"/>
    <n v="209.56604427458893"/>
    <n v="0.3000000000000006"/>
    <m/>
  </r>
  <r>
    <s v="INV1436"/>
    <x v="2"/>
    <x v="1"/>
    <n v="2419"/>
    <x v="0"/>
    <x v="0"/>
    <x v="4"/>
    <x v="53"/>
    <n v="100.53694678310499"/>
    <n v="5"/>
    <x v="435"/>
    <x v="435"/>
    <s v="E-Wallet"/>
    <n v="351.87931374086799"/>
    <n v="0.29999999999999899"/>
    <m/>
  </r>
  <r>
    <s v="INV1437"/>
    <x v="0"/>
    <x v="2"/>
    <n v="2313"/>
    <x v="1"/>
    <x v="1"/>
    <x v="3"/>
    <x v="76"/>
    <n v="14.5654447687463"/>
    <n v="9"/>
    <x v="436"/>
    <x v="436"/>
    <s v="Cash"/>
    <n v="91.762302043101002"/>
    <n v="0.30000000000000154"/>
    <m/>
  </r>
  <r>
    <s v="INV1438"/>
    <x v="1"/>
    <x v="1"/>
    <n v="2478"/>
    <x v="0"/>
    <x v="0"/>
    <x v="3"/>
    <x v="65"/>
    <n v="14.9734367554074"/>
    <n v="7"/>
    <x v="437"/>
    <x v="437"/>
    <s v="Credit Card"/>
    <n v="73.369840101496393"/>
    <n v="0.30000000000000004"/>
    <m/>
  </r>
  <r>
    <s v="INV1439"/>
    <x v="0"/>
    <x v="2"/>
    <n v="1988"/>
    <x v="0"/>
    <x v="0"/>
    <x v="4"/>
    <x v="66"/>
    <n v="275.81495747629901"/>
    <n v="7"/>
    <x v="438"/>
    <x v="438"/>
    <s v="Credit Card"/>
    <n v="1351.4932916338619"/>
    <n v="0.30000000000000054"/>
    <m/>
  </r>
  <r>
    <s v="INV1440"/>
    <x v="0"/>
    <x v="2"/>
    <n v="2151"/>
    <x v="0"/>
    <x v="1"/>
    <x v="4"/>
    <x v="38"/>
    <n v="214.785965614525"/>
    <n v="6"/>
    <x v="439"/>
    <x v="439"/>
    <s v="Cash"/>
    <n v="902.10105558100395"/>
    <n v="0.30000000000000077"/>
    <m/>
  </r>
  <r>
    <s v="INV1441"/>
    <x v="2"/>
    <x v="2"/>
    <n v="1908"/>
    <x v="0"/>
    <x v="1"/>
    <x v="3"/>
    <x v="10"/>
    <n v="99.597237119764202"/>
    <n v="2"/>
    <x v="440"/>
    <x v="440"/>
    <s v="E-Wallet"/>
    <n v="139.4361319676695"/>
    <n v="0.30000000000000054"/>
    <m/>
  </r>
  <r>
    <s v="INV1442"/>
    <x v="0"/>
    <x v="2"/>
    <n v="2382"/>
    <x v="0"/>
    <x v="1"/>
    <x v="4"/>
    <x v="87"/>
    <n v="48.466927504276399"/>
    <n v="9"/>
    <x v="441"/>
    <x v="441"/>
    <s v="Cash"/>
    <n v="305.341643276941"/>
    <n v="0.29999999999999977"/>
    <m/>
  </r>
  <r>
    <s v="INV1443"/>
    <x v="2"/>
    <x v="2"/>
    <n v="1526"/>
    <x v="0"/>
    <x v="0"/>
    <x v="0"/>
    <x v="59"/>
    <n v="158.37435818957201"/>
    <n v="6"/>
    <x v="442"/>
    <x v="442"/>
    <s v="E-Wallet"/>
    <n v="665.17230439620403"/>
    <n v="0.29999999999999977"/>
    <m/>
  </r>
  <r>
    <s v="INV1444"/>
    <x v="1"/>
    <x v="0"/>
    <n v="2336"/>
    <x v="1"/>
    <x v="0"/>
    <x v="1"/>
    <x v="28"/>
    <n v="11.550386647765601"/>
    <n v="8"/>
    <x v="443"/>
    <x v="443"/>
    <s v="Cash"/>
    <n v="64.6821652274879"/>
    <n v="0.29999999999999949"/>
    <m/>
  </r>
  <r>
    <s v="INV1445"/>
    <x v="2"/>
    <x v="1"/>
    <n v="1074"/>
    <x v="0"/>
    <x v="0"/>
    <x v="1"/>
    <x v="75"/>
    <n v="282.139985718861"/>
    <n v="1"/>
    <x v="444"/>
    <x v="444"/>
    <s v="E-Wallet"/>
    <n v="197.49799000320252"/>
    <n v="0.30000000000000066"/>
    <m/>
  </r>
  <r>
    <s v="INV1446"/>
    <x v="1"/>
    <x v="0"/>
    <n v="1195"/>
    <x v="1"/>
    <x v="1"/>
    <x v="1"/>
    <x v="74"/>
    <n v="130.29638462279399"/>
    <n v="5"/>
    <x v="445"/>
    <x v="445"/>
    <s v="Cash"/>
    <n v="456.03734617978103"/>
    <n v="0.30000000000000016"/>
    <m/>
  </r>
  <r>
    <s v="INV1447"/>
    <x v="2"/>
    <x v="1"/>
    <n v="1028"/>
    <x v="0"/>
    <x v="0"/>
    <x v="0"/>
    <x v="26"/>
    <n v="126.677137018826"/>
    <n v="1"/>
    <x v="446"/>
    <x v="446"/>
    <s v="E-Wallet"/>
    <n v="88.673995913178103"/>
    <n v="0.30000000000000077"/>
    <m/>
  </r>
  <r>
    <s v="INV1448"/>
    <x v="0"/>
    <x v="0"/>
    <n v="1705"/>
    <x v="0"/>
    <x v="0"/>
    <x v="4"/>
    <x v="37"/>
    <n v="123.272146198716"/>
    <n v="8"/>
    <x v="447"/>
    <x v="447"/>
    <s v="E-Wallet"/>
    <n v="690.324018712814"/>
    <n v="0.29999999999999982"/>
    <m/>
  </r>
  <r>
    <s v="INV1449"/>
    <x v="0"/>
    <x v="2"/>
    <n v="2020"/>
    <x v="1"/>
    <x v="1"/>
    <x v="2"/>
    <x v="74"/>
    <n v="30.1052158124517"/>
    <n v="8"/>
    <x v="448"/>
    <x v="448"/>
    <s v="E-Wallet"/>
    <n v="168.58920854972979"/>
    <n v="0.30000000000000004"/>
    <m/>
  </r>
  <r>
    <s v="INV1450"/>
    <x v="1"/>
    <x v="1"/>
    <n v="1015"/>
    <x v="0"/>
    <x v="1"/>
    <x v="4"/>
    <x v="79"/>
    <n v="195.11344953962899"/>
    <n v="1"/>
    <x v="449"/>
    <x v="449"/>
    <s v="E-Wallet"/>
    <n v="136.57941467774009"/>
    <n v="0.30000000000000104"/>
    <m/>
  </r>
  <r>
    <s v="INV1451"/>
    <x v="1"/>
    <x v="1"/>
    <n v="2446"/>
    <x v="1"/>
    <x v="1"/>
    <x v="3"/>
    <x v="67"/>
    <n v="222.571049692222"/>
    <n v="9"/>
    <x v="450"/>
    <x v="450"/>
    <s v="E-Wallet"/>
    <n v="1402.1976130610001"/>
    <n v="0.3"/>
    <m/>
  </r>
  <r>
    <s v="INV1452"/>
    <x v="1"/>
    <x v="0"/>
    <n v="1804"/>
    <x v="1"/>
    <x v="1"/>
    <x v="5"/>
    <x v="67"/>
    <n v="206.07636530060401"/>
    <n v="2"/>
    <x v="451"/>
    <x v="451"/>
    <s v="Credit Card"/>
    <n v="288.506911420846"/>
    <n v="0.2999999999999991"/>
    <m/>
  </r>
  <r>
    <s v="INV1453"/>
    <x v="2"/>
    <x v="0"/>
    <n v="2428"/>
    <x v="1"/>
    <x v="1"/>
    <x v="1"/>
    <x v="16"/>
    <n v="50.146293065524297"/>
    <n v="9"/>
    <x v="452"/>
    <x v="452"/>
    <s v="E-Wallet"/>
    <n v="315.921646312804"/>
    <n v="0.29999999999999843"/>
    <m/>
  </r>
  <r>
    <s v="INV1454"/>
    <x v="2"/>
    <x v="1"/>
    <n v="1939"/>
    <x v="1"/>
    <x v="0"/>
    <x v="4"/>
    <x v="9"/>
    <n v="177.86364873032099"/>
    <n v="1"/>
    <x v="453"/>
    <x v="453"/>
    <s v="Credit Card"/>
    <n v="124.50455411122448"/>
    <n v="0.30000000000000121"/>
    <m/>
  </r>
  <r>
    <s v="INV1455"/>
    <x v="1"/>
    <x v="0"/>
    <n v="1966"/>
    <x v="0"/>
    <x v="1"/>
    <x v="2"/>
    <x v="79"/>
    <n v="175.150500409953"/>
    <n v="9"/>
    <x v="454"/>
    <x v="454"/>
    <s v="E-Wallet"/>
    <n v="1103.4481525827059"/>
    <n v="0.30000000000000004"/>
    <m/>
  </r>
  <r>
    <s v="INV1456"/>
    <x v="0"/>
    <x v="0"/>
    <n v="2100"/>
    <x v="0"/>
    <x v="0"/>
    <x v="3"/>
    <x v="53"/>
    <n v="261.83912850299998"/>
    <n v="4"/>
    <x v="455"/>
    <x v="455"/>
    <s v="Credit Card"/>
    <n v="733.1495598084"/>
    <n v="0.29999999999999993"/>
    <m/>
  </r>
  <r>
    <s v="INV1457"/>
    <x v="2"/>
    <x v="0"/>
    <n v="1228"/>
    <x v="1"/>
    <x v="0"/>
    <x v="0"/>
    <x v="18"/>
    <n v="119.94702092893699"/>
    <n v="9"/>
    <x v="456"/>
    <x v="456"/>
    <s v="Credit Card"/>
    <n v="755.66623185229889"/>
    <n v="0.30000000000000188"/>
    <m/>
  </r>
  <r>
    <s v="INV1458"/>
    <x v="2"/>
    <x v="2"/>
    <n v="1961"/>
    <x v="0"/>
    <x v="1"/>
    <x v="0"/>
    <x v="71"/>
    <n v="117.730923661235"/>
    <n v="7"/>
    <x v="457"/>
    <x v="457"/>
    <s v="Cash"/>
    <n v="576.88152594005601"/>
    <n v="0.2999999999999996"/>
    <m/>
  </r>
  <r>
    <s v="INV1459"/>
    <x v="2"/>
    <x v="2"/>
    <n v="2320"/>
    <x v="0"/>
    <x v="1"/>
    <x v="2"/>
    <x v="27"/>
    <n v="189.37284702827299"/>
    <n v="6"/>
    <x v="458"/>
    <x v="458"/>
    <s v="E-Wallet"/>
    <n v="795.36595751874802"/>
    <n v="0.29999999999999993"/>
    <m/>
  </r>
  <r>
    <s v="INV1460"/>
    <x v="1"/>
    <x v="0"/>
    <n v="1714"/>
    <x v="1"/>
    <x v="1"/>
    <x v="3"/>
    <x v="5"/>
    <n v="193.59106951485799"/>
    <n v="5"/>
    <x v="459"/>
    <x v="459"/>
    <s v="Cash"/>
    <n v="677.56874330200503"/>
    <n v="0.30000000000000004"/>
    <m/>
  </r>
  <r>
    <s v="INV1461"/>
    <x v="1"/>
    <x v="0"/>
    <n v="1983"/>
    <x v="0"/>
    <x v="0"/>
    <x v="1"/>
    <x v="31"/>
    <n v="146.09271592447899"/>
    <n v="9"/>
    <x v="460"/>
    <x v="460"/>
    <s v="Cash"/>
    <n v="920.38411032421686"/>
    <n v="0.30000000000000004"/>
    <m/>
  </r>
  <r>
    <s v="INV1462"/>
    <x v="1"/>
    <x v="2"/>
    <n v="1572"/>
    <x v="1"/>
    <x v="1"/>
    <x v="4"/>
    <x v="38"/>
    <n v="138.48721507582201"/>
    <n v="2"/>
    <x v="461"/>
    <x v="461"/>
    <s v="E-Wallet"/>
    <n v="193.8821011061508"/>
    <n v="0.30000000000000004"/>
    <m/>
  </r>
  <r>
    <s v="INV1463"/>
    <x v="1"/>
    <x v="2"/>
    <n v="1614"/>
    <x v="1"/>
    <x v="1"/>
    <x v="3"/>
    <x v="59"/>
    <n v="153.302824484985"/>
    <n v="2"/>
    <x v="462"/>
    <x v="462"/>
    <s v="Cash"/>
    <n v="214.62395427897951"/>
    <n v="0.30000000000000066"/>
    <m/>
  </r>
  <r>
    <s v="INV1464"/>
    <x v="1"/>
    <x v="1"/>
    <n v="1325"/>
    <x v="0"/>
    <x v="1"/>
    <x v="0"/>
    <x v="62"/>
    <n v="259.70313685596"/>
    <n v="9"/>
    <x v="463"/>
    <x v="463"/>
    <s v="E-Wallet"/>
    <n v="1636.1297621925471"/>
    <n v="0.30000000000000043"/>
    <m/>
  </r>
  <r>
    <s v="INV1465"/>
    <x v="0"/>
    <x v="1"/>
    <n v="2386"/>
    <x v="0"/>
    <x v="1"/>
    <x v="2"/>
    <x v="21"/>
    <n v="143.73840136363299"/>
    <n v="3"/>
    <x v="464"/>
    <x v="464"/>
    <s v="Cash"/>
    <n v="301.85064286363104"/>
    <n v="0.29999999999999921"/>
    <m/>
  </r>
  <r>
    <s v="INV1466"/>
    <x v="0"/>
    <x v="2"/>
    <n v="1874"/>
    <x v="0"/>
    <x v="1"/>
    <x v="2"/>
    <x v="9"/>
    <n v="282.58021967124802"/>
    <n v="8"/>
    <x v="465"/>
    <x v="465"/>
    <s v="E-Wallet"/>
    <n v="1582.4492301589839"/>
    <n v="0.30000000000000093"/>
    <m/>
  </r>
  <r>
    <s v="INV1467"/>
    <x v="1"/>
    <x v="0"/>
    <n v="1358"/>
    <x v="1"/>
    <x v="0"/>
    <x v="4"/>
    <x v="63"/>
    <n v="156.16109144293401"/>
    <n v="9"/>
    <x v="466"/>
    <x v="466"/>
    <s v="E-Wallet"/>
    <n v="983.81487609048702"/>
    <n v="0.3"/>
    <m/>
  </r>
  <r>
    <s v="INV1468"/>
    <x v="2"/>
    <x v="0"/>
    <n v="1323"/>
    <x v="1"/>
    <x v="0"/>
    <x v="2"/>
    <x v="6"/>
    <n v="285.26820102245802"/>
    <n v="8"/>
    <x v="467"/>
    <x v="467"/>
    <s v="E-Wallet"/>
    <n v="1597.50192572576"/>
    <n v="0.30000000000000088"/>
    <m/>
  </r>
  <r>
    <s v="INV1469"/>
    <x v="1"/>
    <x v="0"/>
    <n v="2349"/>
    <x v="0"/>
    <x v="0"/>
    <x v="2"/>
    <x v="3"/>
    <n v="251.521251542031"/>
    <n v="4"/>
    <x v="468"/>
    <x v="468"/>
    <s v="Credit Card"/>
    <n v="704.25950431768206"/>
    <n v="0.30000000000000193"/>
    <m/>
  </r>
  <r>
    <s v="INV1470"/>
    <x v="0"/>
    <x v="0"/>
    <n v="1164"/>
    <x v="0"/>
    <x v="1"/>
    <x v="3"/>
    <x v="30"/>
    <n v="115.10508355859"/>
    <n v="1"/>
    <x v="469"/>
    <x v="469"/>
    <s v="Cash"/>
    <n v="80.573558491012903"/>
    <n v="0.30000000000000082"/>
    <m/>
  </r>
  <r>
    <s v="INV1471"/>
    <x v="0"/>
    <x v="1"/>
    <n v="1797"/>
    <x v="0"/>
    <x v="1"/>
    <x v="1"/>
    <x v="13"/>
    <n v="260.45601217601802"/>
    <n v="4"/>
    <x v="470"/>
    <x v="470"/>
    <s v="Credit Card"/>
    <n v="729.27683409284805"/>
    <n v="0.30000000000000093"/>
    <m/>
  </r>
  <r>
    <s v="INV1472"/>
    <x v="2"/>
    <x v="2"/>
    <n v="1454"/>
    <x v="0"/>
    <x v="1"/>
    <x v="4"/>
    <x v="31"/>
    <n v="41.918352418323401"/>
    <n v="9"/>
    <x v="471"/>
    <x v="471"/>
    <s v="Cash"/>
    <n v="264.08562023543698"/>
    <n v="0.3000000000000001"/>
    <m/>
  </r>
  <r>
    <s v="INV1473"/>
    <x v="0"/>
    <x v="0"/>
    <n v="2176"/>
    <x v="1"/>
    <x v="0"/>
    <x v="3"/>
    <x v="13"/>
    <n v="278.26368084947399"/>
    <n v="2"/>
    <x v="472"/>
    <x v="472"/>
    <s v="Cash"/>
    <n v="389.56915318926394"/>
    <n v="0.29999999999999932"/>
    <m/>
  </r>
  <r>
    <s v="INV1474"/>
    <x v="1"/>
    <x v="1"/>
    <n v="2150"/>
    <x v="0"/>
    <x v="1"/>
    <x v="1"/>
    <x v="89"/>
    <n v="193.17661937403801"/>
    <n v="3"/>
    <x v="473"/>
    <x v="473"/>
    <s v="Cash"/>
    <n v="405.670900685481"/>
    <n v="0.29999999999999916"/>
    <m/>
  </r>
  <r>
    <s v="INV1475"/>
    <x v="2"/>
    <x v="0"/>
    <n v="1192"/>
    <x v="1"/>
    <x v="1"/>
    <x v="3"/>
    <x v="77"/>
    <n v="25.773317071470199"/>
    <n v="8"/>
    <x v="474"/>
    <x v="474"/>
    <s v="Credit Card"/>
    <n v="144.33057560023249"/>
    <n v="0.30000000000000099"/>
    <m/>
  </r>
  <r>
    <s v="INV1476"/>
    <x v="1"/>
    <x v="2"/>
    <n v="1626"/>
    <x v="1"/>
    <x v="1"/>
    <x v="5"/>
    <x v="67"/>
    <n v="196.83444985873501"/>
    <n v="6"/>
    <x v="475"/>
    <x v="475"/>
    <s v="Cash"/>
    <n v="826.70468940668695"/>
    <n v="0.30000000000000004"/>
    <m/>
  </r>
  <r>
    <s v="INV1477"/>
    <x v="1"/>
    <x v="1"/>
    <n v="1529"/>
    <x v="0"/>
    <x v="0"/>
    <x v="3"/>
    <x v="6"/>
    <n v="292.53181970197897"/>
    <n v="8"/>
    <x v="476"/>
    <x v="476"/>
    <s v="Credit Card"/>
    <n v="1638.17819033108"/>
    <n v="0.30000000000000043"/>
    <m/>
  </r>
  <r>
    <s v="INV1478"/>
    <x v="2"/>
    <x v="2"/>
    <n v="2033"/>
    <x v="0"/>
    <x v="1"/>
    <x v="2"/>
    <x v="69"/>
    <n v="30.2421898382423"/>
    <n v="7"/>
    <x v="477"/>
    <x v="477"/>
    <s v="E-Wallet"/>
    <n v="148.186730207387"/>
    <n v="0.30000000000000093"/>
    <m/>
  </r>
  <r>
    <s v="INV1479"/>
    <x v="1"/>
    <x v="2"/>
    <n v="1091"/>
    <x v="0"/>
    <x v="0"/>
    <x v="1"/>
    <x v="74"/>
    <n v="170.859435836225"/>
    <n v="5"/>
    <x v="478"/>
    <x v="478"/>
    <s v="Cash"/>
    <n v="598.00802542678798"/>
    <n v="0.29999999999999943"/>
    <m/>
  </r>
  <r>
    <s v="INV1480"/>
    <x v="0"/>
    <x v="1"/>
    <n v="1138"/>
    <x v="1"/>
    <x v="1"/>
    <x v="4"/>
    <x v="50"/>
    <n v="226.86036143021801"/>
    <n v="9"/>
    <x v="479"/>
    <x v="479"/>
    <s v="Cash"/>
    <n v="1429.2202770103722"/>
    <n v="0.29999999999999993"/>
    <m/>
  </r>
  <r>
    <s v="INV1481"/>
    <x v="1"/>
    <x v="1"/>
    <n v="1480"/>
    <x v="0"/>
    <x v="0"/>
    <x v="4"/>
    <x v="41"/>
    <n v="244.97499014286399"/>
    <n v="4"/>
    <x v="480"/>
    <x v="480"/>
    <s v="E-Wallet"/>
    <n v="685.92997240002001"/>
    <n v="0.29999999999999916"/>
    <m/>
  </r>
  <r>
    <s v="INV1482"/>
    <x v="2"/>
    <x v="1"/>
    <n v="1448"/>
    <x v="0"/>
    <x v="0"/>
    <x v="1"/>
    <x v="10"/>
    <n v="130.00996494303001"/>
    <n v="6"/>
    <x v="481"/>
    <x v="481"/>
    <s v="E-Wallet"/>
    <n v="546.04185276072894"/>
    <n v="0.29999999999999977"/>
    <m/>
  </r>
  <r>
    <s v="INV1483"/>
    <x v="2"/>
    <x v="1"/>
    <n v="2356"/>
    <x v="1"/>
    <x v="0"/>
    <x v="2"/>
    <x v="20"/>
    <n v="69.208302158790403"/>
    <n v="2"/>
    <x v="482"/>
    <x v="482"/>
    <s v="Cash"/>
    <n v="96.891623022305808"/>
    <n v="0.30000000000000143"/>
    <m/>
  </r>
  <r>
    <s v="INV1484"/>
    <x v="2"/>
    <x v="1"/>
    <n v="1868"/>
    <x v="0"/>
    <x v="1"/>
    <x v="0"/>
    <x v="28"/>
    <n v="22.279260843991299"/>
    <n v="2"/>
    <x v="483"/>
    <x v="483"/>
    <s v="E-Wallet"/>
    <n v="31.190965181587899"/>
    <n v="0.29999999999999821"/>
    <m/>
  </r>
  <r>
    <s v="INV1485"/>
    <x v="1"/>
    <x v="1"/>
    <n v="1339"/>
    <x v="1"/>
    <x v="1"/>
    <x v="3"/>
    <x v="24"/>
    <n v="178.12058555819499"/>
    <n v="2"/>
    <x v="484"/>
    <x v="484"/>
    <s v="Credit Card"/>
    <n v="249.36881978147298"/>
    <n v="0.3"/>
    <m/>
  </r>
  <r>
    <s v="INV1486"/>
    <x v="2"/>
    <x v="1"/>
    <n v="2075"/>
    <x v="0"/>
    <x v="0"/>
    <x v="2"/>
    <x v="8"/>
    <n v="141.344210377607"/>
    <n v="7"/>
    <x v="485"/>
    <x v="485"/>
    <s v="Credit Card"/>
    <n v="692.58663085027501"/>
    <n v="0.29999999999999993"/>
    <m/>
  </r>
  <r>
    <s v="INV1487"/>
    <x v="2"/>
    <x v="0"/>
    <n v="1465"/>
    <x v="1"/>
    <x v="0"/>
    <x v="5"/>
    <x v="20"/>
    <n v="285.13587459341602"/>
    <n v="2"/>
    <x v="486"/>
    <x v="486"/>
    <s v="Cash"/>
    <n v="399.19022443078302"/>
    <n v="0.29999999999999899"/>
    <m/>
  </r>
  <r>
    <s v="INV1488"/>
    <x v="1"/>
    <x v="2"/>
    <n v="1717"/>
    <x v="0"/>
    <x v="1"/>
    <x v="1"/>
    <x v="72"/>
    <n v="27.5754232373238"/>
    <n v="2"/>
    <x v="487"/>
    <x v="487"/>
    <s v="Credit Card"/>
    <n v="38.605592532253297"/>
    <n v="0.30000000000000043"/>
    <m/>
  </r>
  <r>
    <s v="INV1489"/>
    <x v="0"/>
    <x v="1"/>
    <n v="1798"/>
    <x v="0"/>
    <x v="1"/>
    <x v="3"/>
    <x v="37"/>
    <n v="208.764649599341"/>
    <n v="9"/>
    <x v="488"/>
    <x v="488"/>
    <s v="Credit Card"/>
    <n v="1315.2172924758479"/>
    <n v="0.30000000000000054"/>
    <m/>
  </r>
  <r>
    <s v="INV1490"/>
    <x v="1"/>
    <x v="0"/>
    <n v="1474"/>
    <x v="1"/>
    <x v="0"/>
    <x v="4"/>
    <x v="66"/>
    <n v="17.2402044148165"/>
    <n v="7"/>
    <x v="489"/>
    <x v="489"/>
    <s v="Cash"/>
    <n v="84.477001632601201"/>
    <n v="0.30000000000000004"/>
    <m/>
  </r>
  <r>
    <s v="INV1491"/>
    <x v="2"/>
    <x v="0"/>
    <n v="1400"/>
    <x v="1"/>
    <x v="1"/>
    <x v="0"/>
    <x v="59"/>
    <n v="59.715911246057303"/>
    <n v="3"/>
    <x v="490"/>
    <x v="490"/>
    <s v="E-Wallet"/>
    <n v="125.4034136167204"/>
    <n v="0.30000000000000004"/>
    <m/>
  </r>
  <r>
    <s v="INV1492"/>
    <x v="2"/>
    <x v="0"/>
    <n v="2462"/>
    <x v="0"/>
    <x v="1"/>
    <x v="5"/>
    <x v="41"/>
    <n v="141.53790997762101"/>
    <n v="3"/>
    <x v="491"/>
    <x v="491"/>
    <s v="Cash"/>
    <n v="297.22961095300599"/>
    <n v="0.29999999999999882"/>
    <m/>
  </r>
  <r>
    <s v="INV1493"/>
    <x v="1"/>
    <x v="2"/>
    <n v="1604"/>
    <x v="1"/>
    <x v="1"/>
    <x v="4"/>
    <x v="30"/>
    <n v="141.913008412831"/>
    <n v="7"/>
    <x v="492"/>
    <x v="492"/>
    <s v="Credit Card"/>
    <n v="695.37374122287611"/>
    <n v="0.29999999999999932"/>
    <m/>
  </r>
  <r>
    <s v="INV1494"/>
    <x v="0"/>
    <x v="1"/>
    <n v="1931"/>
    <x v="1"/>
    <x v="1"/>
    <x v="1"/>
    <x v="83"/>
    <n v="208.85315745075599"/>
    <n v="5"/>
    <x v="493"/>
    <x v="493"/>
    <s v="Cash"/>
    <n v="730.98605107764502"/>
    <n v="0.30000000000000093"/>
    <m/>
  </r>
  <r>
    <s v="INV1495"/>
    <x v="2"/>
    <x v="0"/>
    <n v="1996"/>
    <x v="1"/>
    <x v="0"/>
    <x v="3"/>
    <x v="4"/>
    <n v="273.96178011164898"/>
    <n v="6"/>
    <x v="494"/>
    <x v="494"/>
    <s v="Cash"/>
    <n v="1150.6394764689221"/>
    <n v="0.30000000000000054"/>
    <m/>
  </r>
  <r>
    <s v="INV1496"/>
    <x v="2"/>
    <x v="2"/>
    <n v="1921"/>
    <x v="1"/>
    <x v="1"/>
    <x v="1"/>
    <x v="71"/>
    <n v="195.31932608532699"/>
    <n v="8"/>
    <x v="495"/>
    <x v="495"/>
    <s v="Credit Card"/>
    <n v="1093.788226077826"/>
    <n v="0.3000000000000006"/>
    <m/>
  </r>
  <r>
    <s v="INV1497"/>
    <x v="2"/>
    <x v="2"/>
    <n v="1820"/>
    <x v="0"/>
    <x v="1"/>
    <x v="3"/>
    <x v="50"/>
    <n v="286.52517837693699"/>
    <n v="9"/>
    <x v="496"/>
    <x v="496"/>
    <s v="Credit Card"/>
    <n v="1805.108623774699"/>
    <n v="0.30000000000000077"/>
    <m/>
  </r>
  <r>
    <s v="INV1498"/>
    <x v="1"/>
    <x v="2"/>
    <n v="1656"/>
    <x v="0"/>
    <x v="0"/>
    <x v="2"/>
    <x v="11"/>
    <n v="265.66853556461899"/>
    <n v="1"/>
    <x v="497"/>
    <x v="497"/>
    <s v="Cash"/>
    <n v="185.9679748952332"/>
    <n v="0.30000000000000038"/>
    <m/>
  </r>
  <r>
    <s v="INV1499"/>
    <x v="2"/>
    <x v="0"/>
    <n v="1597"/>
    <x v="1"/>
    <x v="0"/>
    <x v="0"/>
    <x v="32"/>
    <n v="179.50494070392901"/>
    <n v="3"/>
    <x v="498"/>
    <x v="498"/>
    <s v="Credit Card"/>
    <n v="376.96037547825097"/>
    <n v="0.29999999999999988"/>
    <m/>
  </r>
  <r>
    <s v="INV1500"/>
    <x v="0"/>
    <x v="1"/>
    <n v="2176"/>
    <x v="1"/>
    <x v="1"/>
    <x v="2"/>
    <x v="39"/>
    <n v="251.79966576645899"/>
    <n v="7"/>
    <x v="499"/>
    <x v="499"/>
    <s v="Credit Card"/>
    <n v="1233.8183622556448"/>
    <n v="0.30000000000000121"/>
    <m/>
  </r>
  <r>
    <s v="INV1501"/>
    <x v="2"/>
    <x v="0"/>
    <n v="1513"/>
    <x v="1"/>
    <x v="1"/>
    <x v="2"/>
    <x v="54"/>
    <n v="196.34750699385299"/>
    <n v="6"/>
    <x v="500"/>
    <x v="500"/>
    <s v="Credit Card"/>
    <n v="824.65952937418297"/>
    <n v="0.30000000000000082"/>
    <m/>
  </r>
  <r>
    <s v="INV1502"/>
    <x v="2"/>
    <x v="0"/>
    <n v="2029"/>
    <x v="1"/>
    <x v="1"/>
    <x v="1"/>
    <x v="16"/>
    <n v="32.781770967880803"/>
    <n v="7"/>
    <x v="501"/>
    <x v="501"/>
    <s v="Credit Card"/>
    <n v="160.6306777426162"/>
    <n v="0.3"/>
    <m/>
  </r>
  <r>
    <s v="INV1503"/>
    <x v="0"/>
    <x v="1"/>
    <n v="1499"/>
    <x v="0"/>
    <x v="1"/>
    <x v="0"/>
    <x v="5"/>
    <n v="224.76376974525701"/>
    <n v="8"/>
    <x v="502"/>
    <x v="502"/>
    <s v="Credit Card"/>
    <n v="1258.677110573442"/>
    <n v="0.3"/>
    <m/>
  </r>
  <r>
    <s v="INV1504"/>
    <x v="2"/>
    <x v="1"/>
    <n v="1716"/>
    <x v="0"/>
    <x v="0"/>
    <x v="3"/>
    <x v="10"/>
    <n v="37.523447967530402"/>
    <n v="6"/>
    <x v="503"/>
    <x v="503"/>
    <s v="Credit Card"/>
    <n v="157.59848146362731"/>
    <n v="0.30000000000000043"/>
    <m/>
  </r>
  <r>
    <s v="INV1505"/>
    <x v="1"/>
    <x v="1"/>
    <n v="2141"/>
    <x v="1"/>
    <x v="0"/>
    <x v="3"/>
    <x v="8"/>
    <n v="182.28400636521599"/>
    <n v="3"/>
    <x v="504"/>
    <x v="504"/>
    <s v="E-Wallet"/>
    <n v="382.79641336695499"/>
    <n v="0.29999999999999871"/>
    <m/>
  </r>
  <r>
    <s v="INV1506"/>
    <x v="1"/>
    <x v="2"/>
    <n v="1600"/>
    <x v="1"/>
    <x v="0"/>
    <x v="5"/>
    <x v="79"/>
    <n v="213.765659698886"/>
    <n v="2"/>
    <x v="505"/>
    <x v="505"/>
    <s v="Cash"/>
    <n v="299.27192357844103"/>
    <n v="0.29999999999999849"/>
    <m/>
  </r>
  <r>
    <s v="INV1507"/>
    <x v="1"/>
    <x v="1"/>
    <n v="1665"/>
    <x v="1"/>
    <x v="1"/>
    <x v="4"/>
    <x v="68"/>
    <n v="29.293006381148"/>
    <n v="7"/>
    <x v="506"/>
    <x v="506"/>
    <s v="Credit Card"/>
    <n v="143.53573126762521"/>
    <n v="0.3"/>
    <m/>
  </r>
  <r>
    <s v="INV1508"/>
    <x v="0"/>
    <x v="0"/>
    <n v="1467"/>
    <x v="0"/>
    <x v="1"/>
    <x v="5"/>
    <x v="86"/>
    <n v="76.930449638694199"/>
    <n v="1"/>
    <x v="507"/>
    <x v="507"/>
    <s v="Cash"/>
    <n v="53.851314747086001"/>
    <n v="0.29999999999999921"/>
    <m/>
  </r>
  <r>
    <s v="INV1509"/>
    <x v="2"/>
    <x v="1"/>
    <n v="1160"/>
    <x v="1"/>
    <x v="1"/>
    <x v="5"/>
    <x v="26"/>
    <n v="275.54494735587798"/>
    <n v="3"/>
    <x v="508"/>
    <x v="508"/>
    <s v="E-Wallet"/>
    <n v="578.64438944734502"/>
    <n v="0.29999999999999932"/>
    <m/>
  </r>
  <r>
    <s v="INV1510"/>
    <x v="1"/>
    <x v="0"/>
    <n v="1269"/>
    <x v="0"/>
    <x v="1"/>
    <x v="3"/>
    <x v="35"/>
    <n v="188.73120274753899"/>
    <n v="4"/>
    <x v="509"/>
    <x v="509"/>
    <s v="Credit Card"/>
    <n v="528.44736769311203"/>
    <n v="0.29999999999999905"/>
    <m/>
  </r>
  <r>
    <s v="INV1511"/>
    <x v="0"/>
    <x v="2"/>
    <n v="2079"/>
    <x v="1"/>
    <x v="0"/>
    <x v="1"/>
    <x v="33"/>
    <n v="81.422945455054105"/>
    <n v="1"/>
    <x v="510"/>
    <x v="510"/>
    <s v="Cash"/>
    <n v="56.996061818537903"/>
    <n v="0.29999999999999966"/>
    <m/>
  </r>
  <r>
    <s v="INV1512"/>
    <x v="2"/>
    <x v="0"/>
    <n v="1227"/>
    <x v="0"/>
    <x v="0"/>
    <x v="2"/>
    <x v="83"/>
    <n v="210.297133632921"/>
    <n v="5"/>
    <x v="511"/>
    <x v="511"/>
    <s v="Credit Card"/>
    <n v="736.03996771521793"/>
    <n v="0.30000000000000193"/>
    <m/>
  </r>
  <r>
    <s v="INV1513"/>
    <x v="0"/>
    <x v="0"/>
    <n v="1848"/>
    <x v="1"/>
    <x v="1"/>
    <x v="2"/>
    <x v="58"/>
    <n v="183.06516178888899"/>
    <n v="3"/>
    <x v="512"/>
    <x v="512"/>
    <s v="Credit Card"/>
    <n v="384.43683975666897"/>
    <n v="0.29999999999999877"/>
    <m/>
  </r>
  <r>
    <s v="INV1514"/>
    <x v="1"/>
    <x v="1"/>
    <n v="1148"/>
    <x v="0"/>
    <x v="0"/>
    <x v="2"/>
    <x v="5"/>
    <n v="155.456952976205"/>
    <n v="2"/>
    <x v="513"/>
    <x v="513"/>
    <s v="Credit Card"/>
    <n v="217.63973416668699"/>
    <n v="0.30000000000000004"/>
    <m/>
  </r>
  <r>
    <s v="INV1515"/>
    <x v="1"/>
    <x v="1"/>
    <n v="2069"/>
    <x v="1"/>
    <x v="1"/>
    <x v="0"/>
    <x v="86"/>
    <n v="293.09422274654401"/>
    <n v="3"/>
    <x v="514"/>
    <x v="514"/>
    <s v="Credit Card"/>
    <n v="615.49786776774295"/>
    <n v="0.29999999999999938"/>
    <m/>
  </r>
  <r>
    <s v="INV1516"/>
    <x v="1"/>
    <x v="0"/>
    <n v="2167"/>
    <x v="1"/>
    <x v="1"/>
    <x v="3"/>
    <x v="26"/>
    <n v="208.20159544817699"/>
    <n v="8"/>
    <x v="515"/>
    <x v="515"/>
    <s v="Credit Card"/>
    <n v="1165.9289345097941"/>
    <n v="0.29999999999999993"/>
    <m/>
  </r>
  <r>
    <s v="INV1517"/>
    <x v="0"/>
    <x v="1"/>
    <n v="1631"/>
    <x v="1"/>
    <x v="0"/>
    <x v="1"/>
    <x v="49"/>
    <n v="118.87792180369399"/>
    <n v="6"/>
    <x v="516"/>
    <x v="516"/>
    <s v="Credit Card"/>
    <n v="499.28727157551805"/>
    <n v="0.29999999999999943"/>
    <m/>
  </r>
  <r>
    <s v="INV1518"/>
    <x v="0"/>
    <x v="2"/>
    <n v="2363"/>
    <x v="0"/>
    <x v="1"/>
    <x v="0"/>
    <x v="14"/>
    <n v="242.02129530229101"/>
    <n v="7"/>
    <x v="517"/>
    <x v="517"/>
    <s v="Credit Card"/>
    <n v="1185.9043469812279"/>
    <n v="0.30000000000000004"/>
    <m/>
  </r>
  <r>
    <s v="INV1519"/>
    <x v="1"/>
    <x v="2"/>
    <n v="1412"/>
    <x v="1"/>
    <x v="1"/>
    <x v="4"/>
    <x v="31"/>
    <n v="266.52915494714398"/>
    <n v="6"/>
    <x v="518"/>
    <x v="518"/>
    <s v="E-Wallet"/>
    <n v="1119.4224507780009"/>
    <n v="0.30000000000000071"/>
    <m/>
  </r>
  <r>
    <s v="INV1520"/>
    <x v="0"/>
    <x v="1"/>
    <n v="1519"/>
    <x v="0"/>
    <x v="0"/>
    <x v="1"/>
    <x v="76"/>
    <n v="46.313962259881102"/>
    <n v="6"/>
    <x v="519"/>
    <x v="519"/>
    <s v="E-Wallet"/>
    <n v="194.51864149150009"/>
    <n v="0.30000000000000038"/>
    <m/>
  </r>
  <r>
    <s v="INV1521"/>
    <x v="1"/>
    <x v="2"/>
    <n v="2367"/>
    <x v="0"/>
    <x v="1"/>
    <x v="5"/>
    <x v="25"/>
    <n v="68.160363575127207"/>
    <n v="3"/>
    <x v="520"/>
    <x v="520"/>
    <s v="Credit Card"/>
    <n v="143.13676350776649"/>
    <n v="0.30000000000000099"/>
    <m/>
  </r>
  <r>
    <s v="INV1522"/>
    <x v="1"/>
    <x v="1"/>
    <n v="1386"/>
    <x v="1"/>
    <x v="1"/>
    <x v="1"/>
    <x v="50"/>
    <n v="72.705832647056098"/>
    <n v="8"/>
    <x v="521"/>
    <x v="521"/>
    <s v="Credit Card"/>
    <n v="407.15266282351399"/>
    <n v="0.29999999999999932"/>
    <m/>
  </r>
  <r>
    <s v="INV1523"/>
    <x v="2"/>
    <x v="0"/>
    <n v="2496"/>
    <x v="1"/>
    <x v="0"/>
    <x v="1"/>
    <x v="49"/>
    <n v="210.45142472209599"/>
    <n v="7"/>
    <x v="522"/>
    <x v="522"/>
    <s v="E-Wallet"/>
    <n v="1031.211981138267"/>
    <n v="0.30000000000000138"/>
    <m/>
  </r>
  <r>
    <s v="INV1524"/>
    <x v="0"/>
    <x v="0"/>
    <n v="1274"/>
    <x v="1"/>
    <x v="1"/>
    <x v="2"/>
    <x v="17"/>
    <n v="184.881470965452"/>
    <n v="7"/>
    <x v="523"/>
    <x v="523"/>
    <s v="E-Wallet"/>
    <n v="905.91920773071104"/>
    <n v="0.30000000000000077"/>
    <m/>
  </r>
  <r>
    <s v="INV1525"/>
    <x v="1"/>
    <x v="2"/>
    <n v="1352"/>
    <x v="0"/>
    <x v="0"/>
    <x v="1"/>
    <x v="47"/>
    <n v="189.50755376258999"/>
    <n v="6"/>
    <x v="524"/>
    <x v="524"/>
    <s v="E-Wallet"/>
    <n v="795.93172580287705"/>
    <n v="0.30000000000000082"/>
    <m/>
  </r>
  <r>
    <s v="INV1526"/>
    <x v="1"/>
    <x v="1"/>
    <n v="2089"/>
    <x v="1"/>
    <x v="1"/>
    <x v="5"/>
    <x v="38"/>
    <n v="282.82425690995501"/>
    <n v="5"/>
    <x v="525"/>
    <x v="525"/>
    <s v="Credit Card"/>
    <n v="989.8848991848381"/>
    <n v="0.30000000000000066"/>
    <m/>
  </r>
  <r>
    <s v="INV1527"/>
    <x v="0"/>
    <x v="1"/>
    <n v="2102"/>
    <x v="0"/>
    <x v="0"/>
    <x v="5"/>
    <x v="21"/>
    <n v="235.01434451411799"/>
    <n v="8"/>
    <x v="526"/>
    <x v="526"/>
    <s v="Cash"/>
    <n v="1316.0803292790561"/>
    <n v="0.30000000000000104"/>
    <m/>
  </r>
  <r>
    <s v="INV1528"/>
    <x v="2"/>
    <x v="2"/>
    <n v="1597"/>
    <x v="0"/>
    <x v="0"/>
    <x v="3"/>
    <x v="24"/>
    <n v="47.1017081084171"/>
    <n v="5"/>
    <x v="527"/>
    <x v="527"/>
    <s v="Cash"/>
    <n v="164.8559783794594"/>
    <n v="0.30000000000000043"/>
    <m/>
  </r>
  <r>
    <s v="INV1529"/>
    <x v="2"/>
    <x v="0"/>
    <n v="2225"/>
    <x v="1"/>
    <x v="0"/>
    <x v="1"/>
    <x v="19"/>
    <n v="110.777053903302"/>
    <n v="9"/>
    <x v="528"/>
    <x v="528"/>
    <s v="Cash"/>
    <n v="697.89543959080606"/>
    <n v="0.29999999999999932"/>
    <m/>
  </r>
  <r>
    <s v="INV1530"/>
    <x v="1"/>
    <x v="2"/>
    <n v="1557"/>
    <x v="1"/>
    <x v="1"/>
    <x v="2"/>
    <x v="49"/>
    <n v="136.26415739096299"/>
    <n v="9"/>
    <x v="529"/>
    <x v="529"/>
    <s v="Cash"/>
    <n v="858.46419156306911"/>
    <n v="0.3"/>
    <m/>
  </r>
  <r>
    <s v="INV1531"/>
    <x v="0"/>
    <x v="0"/>
    <n v="1112"/>
    <x v="1"/>
    <x v="0"/>
    <x v="1"/>
    <x v="33"/>
    <n v="124.828860736805"/>
    <n v="1"/>
    <x v="530"/>
    <x v="530"/>
    <s v="Credit Card"/>
    <n v="87.380202515763401"/>
    <n v="0.30000000000000077"/>
    <m/>
  </r>
  <r>
    <s v="INV1532"/>
    <x v="2"/>
    <x v="1"/>
    <n v="2114"/>
    <x v="1"/>
    <x v="0"/>
    <x v="4"/>
    <x v="87"/>
    <n v="204.09949665694401"/>
    <n v="6"/>
    <x v="531"/>
    <x v="531"/>
    <s v="Cash"/>
    <n v="857.21788595915996"/>
    <n v="0.30000000000000171"/>
    <m/>
  </r>
  <r>
    <s v="INV1533"/>
    <x v="0"/>
    <x v="0"/>
    <n v="1140"/>
    <x v="1"/>
    <x v="0"/>
    <x v="4"/>
    <x v="34"/>
    <n v="268.64899994440299"/>
    <n v="7"/>
    <x v="532"/>
    <x v="532"/>
    <s v="E-Wallet"/>
    <n v="1316.3800997275739"/>
    <n v="0.3000000000000001"/>
    <m/>
  </r>
  <r>
    <s v="INV1534"/>
    <x v="0"/>
    <x v="2"/>
    <n v="2312"/>
    <x v="1"/>
    <x v="0"/>
    <x v="2"/>
    <x v="29"/>
    <n v="98.754924421608493"/>
    <n v="3"/>
    <x v="533"/>
    <x v="533"/>
    <s v="E-Wallet"/>
    <n v="207.38534128537742"/>
    <n v="0.30000000000000027"/>
    <m/>
  </r>
  <r>
    <s v="INV1535"/>
    <x v="1"/>
    <x v="1"/>
    <n v="1729"/>
    <x v="0"/>
    <x v="0"/>
    <x v="3"/>
    <x v="6"/>
    <n v="170.044369562143"/>
    <n v="7"/>
    <x v="534"/>
    <x v="534"/>
    <s v="Cash"/>
    <n v="833.21741085449798"/>
    <n v="0.30000000000000165"/>
    <m/>
  </r>
  <r>
    <s v="INV1536"/>
    <x v="2"/>
    <x v="2"/>
    <n v="1588"/>
    <x v="0"/>
    <x v="1"/>
    <x v="3"/>
    <x v="30"/>
    <n v="238.928732354939"/>
    <n v="7"/>
    <x v="535"/>
    <x v="535"/>
    <s v="E-Wallet"/>
    <n v="1170.7507885391969"/>
    <n v="0.30000000000000121"/>
    <m/>
  </r>
  <r>
    <s v="INV1537"/>
    <x v="1"/>
    <x v="2"/>
    <n v="1410"/>
    <x v="0"/>
    <x v="1"/>
    <x v="5"/>
    <x v="42"/>
    <n v="130.703237065151"/>
    <n v="2"/>
    <x v="536"/>
    <x v="536"/>
    <s v="Credit Card"/>
    <n v="182.9845318912113"/>
    <n v="0.30000000000000038"/>
    <m/>
  </r>
  <r>
    <s v="INV1538"/>
    <x v="2"/>
    <x v="0"/>
    <n v="1376"/>
    <x v="1"/>
    <x v="1"/>
    <x v="5"/>
    <x v="33"/>
    <n v="58.754257235795798"/>
    <n v="7"/>
    <x v="537"/>
    <x v="537"/>
    <s v="Cash"/>
    <n v="287.89586045539897"/>
    <n v="0.30000000000000004"/>
    <m/>
  </r>
  <r>
    <s v="INV1539"/>
    <x v="2"/>
    <x v="2"/>
    <n v="2407"/>
    <x v="0"/>
    <x v="1"/>
    <x v="0"/>
    <x v="49"/>
    <n v="147.735779926487"/>
    <n v="1"/>
    <x v="538"/>
    <x v="538"/>
    <s v="Cash"/>
    <n v="103.41504594854089"/>
    <n v="0.30000000000000004"/>
    <m/>
  </r>
  <r>
    <s v="INV1540"/>
    <x v="2"/>
    <x v="0"/>
    <n v="2175"/>
    <x v="0"/>
    <x v="1"/>
    <x v="2"/>
    <x v="26"/>
    <n v="26.014531015478202"/>
    <n v="5"/>
    <x v="539"/>
    <x v="539"/>
    <s v="Credit Card"/>
    <n v="91.050858554173715"/>
    <n v="0.29999999999999993"/>
    <m/>
  </r>
  <r>
    <s v="INV1541"/>
    <x v="2"/>
    <x v="1"/>
    <n v="1750"/>
    <x v="0"/>
    <x v="1"/>
    <x v="1"/>
    <x v="10"/>
    <n v="283.29120166066002"/>
    <n v="9"/>
    <x v="540"/>
    <x v="540"/>
    <s v="E-Wallet"/>
    <n v="1784.734570462158"/>
    <n v="0.3"/>
    <m/>
  </r>
  <r>
    <s v="INV1542"/>
    <x v="2"/>
    <x v="0"/>
    <n v="1626"/>
    <x v="0"/>
    <x v="1"/>
    <x v="2"/>
    <x v="36"/>
    <n v="31.698149506542102"/>
    <n v="7"/>
    <x v="541"/>
    <x v="541"/>
    <s v="Credit Card"/>
    <n v="155.32093258205649"/>
    <n v="0.30000000000000004"/>
    <m/>
  </r>
  <r>
    <s v="INV1543"/>
    <x v="0"/>
    <x v="1"/>
    <n v="2342"/>
    <x v="0"/>
    <x v="0"/>
    <x v="0"/>
    <x v="53"/>
    <n v="137.152447422667"/>
    <n v="7"/>
    <x v="542"/>
    <x v="542"/>
    <s v="Credit Card"/>
    <n v="672.04699237107104"/>
    <n v="0.3000000000000001"/>
    <m/>
  </r>
  <r>
    <s v="INV1544"/>
    <x v="1"/>
    <x v="0"/>
    <n v="2392"/>
    <x v="1"/>
    <x v="1"/>
    <x v="5"/>
    <x v="13"/>
    <n v="163.66556571567199"/>
    <n v="2"/>
    <x v="543"/>
    <x v="543"/>
    <s v="E-Wallet"/>
    <n v="229.13179200194151"/>
    <n v="0.3"/>
    <m/>
  </r>
  <r>
    <s v="INV1545"/>
    <x v="0"/>
    <x v="2"/>
    <n v="1994"/>
    <x v="1"/>
    <x v="0"/>
    <x v="2"/>
    <x v="15"/>
    <n v="295.73811136331199"/>
    <n v="8"/>
    <x v="544"/>
    <x v="544"/>
    <s v="Credit Card"/>
    <n v="1656.1334236345501"/>
    <n v="0.29999999999999993"/>
    <m/>
  </r>
  <r>
    <s v="INV1546"/>
    <x v="2"/>
    <x v="0"/>
    <n v="1702"/>
    <x v="0"/>
    <x v="0"/>
    <x v="2"/>
    <x v="38"/>
    <n v="58.146328856429598"/>
    <n v="3"/>
    <x v="545"/>
    <x v="545"/>
    <s v="E-Wallet"/>
    <n v="122.10729059850141"/>
    <n v="0.3000000000000011"/>
    <m/>
  </r>
  <r>
    <s v="INV1547"/>
    <x v="1"/>
    <x v="0"/>
    <n v="1461"/>
    <x v="0"/>
    <x v="1"/>
    <x v="5"/>
    <x v="10"/>
    <n v="43.185140397583901"/>
    <n v="8"/>
    <x v="546"/>
    <x v="546"/>
    <s v="E-Wallet"/>
    <n v="241.83678622647"/>
    <n v="0.2999999999999991"/>
    <m/>
  </r>
  <r>
    <s v="INV1548"/>
    <x v="2"/>
    <x v="1"/>
    <n v="1011"/>
    <x v="0"/>
    <x v="0"/>
    <x v="0"/>
    <x v="7"/>
    <n v="12.524782648137601"/>
    <n v="3"/>
    <x v="547"/>
    <x v="547"/>
    <s v="Credit Card"/>
    <n v="26.3020435610891"/>
    <n v="0.2999999999999981"/>
    <m/>
  </r>
  <r>
    <s v="INV1549"/>
    <x v="1"/>
    <x v="2"/>
    <n v="2179"/>
    <x v="1"/>
    <x v="0"/>
    <x v="5"/>
    <x v="73"/>
    <n v="55.1157166920976"/>
    <n v="7"/>
    <x v="548"/>
    <x v="548"/>
    <s v="E-Wallet"/>
    <n v="270.06701179127799"/>
    <n v="0.30000000000000027"/>
    <m/>
  </r>
  <r>
    <s v="INV1550"/>
    <x v="0"/>
    <x v="0"/>
    <n v="1476"/>
    <x v="1"/>
    <x v="0"/>
    <x v="3"/>
    <x v="20"/>
    <n v="70.109163929623605"/>
    <n v="2"/>
    <x v="549"/>
    <x v="549"/>
    <s v="Credit Card"/>
    <n v="98.152829501472908"/>
    <n v="0.3"/>
    <m/>
  </r>
  <r>
    <s v="INV1551"/>
    <x v="1"/>
    <x v="2"/>
    <n v="1938"/>
    <x v="0"/>
    <x v="0"/>
    <x v="1"/>
    <x v="72"/>
    <n v="192.868473059096"/>
    <n v="4"/>
    <x v="550"/>
    <x v="550"/>
    <s v="E-Wallet"/>
    <n v="540.031724565471"/>
    <n v="0.29999999999999988"/>
    <m/>
  </r>
  <r>
    <s v="INV1552"/>
    <x v="1"/>
    <x v="0"/>
    <n v="1400"/>
    <x v="1"/>
    <x v="1"/>
    <x v="5"/>
    <x v="84"/>
    <n v="73.714969213506095"/>
    <n v="6"/>
    <x v="551"/>
    <x v="551"/>
    <s v="Cash"/>
    <n v="309.60287069672501"/>
    <n v="0.30000000000000043"/>
    <m/>
  </r>
  <r>
    <s v="INV1553"/>
    <x v="1"/>
    <x v="0"/>
    <n v="1807"/>
    <x v="1"/>
    <x v="1"/>
    <x v="0"/>
    <x v="84"/>
    <n v="15.9510362715043"/>
    <n v="9"/>
    <x v="552"/>
    <x v="552"/>
    <s v="E-Wallet"/>
    <n v="100.4915285104764"/>
    <n v="0.30000000000000138"/>
    <m/>
  </r>
  <r>
    <s v="INV1554"/>
    <x v="1"/>
    <x v="2"/>
    <n v="1176"/>
    <x v="0"/>
    <x v="1"/>
    <x v="4"/>
    <x v="49"/>
    <n v="249.719320195721"/>
    <n v="5"/>
    <x v="553"/>
    <x v="553"/>
    <s v="E-Wallet"/>
    <n v="874.01762068501807"/>
    <n v="0.30000000000000154"/>
    <m/>
  </r>
  <r>
    <s v="INV1555"/>
    <x v="1"/>
    <x v="0"/>
    <n v="2364"/>
    <x v="1"/>
    <x v="1"/>
    <x v="3"/>
    <x v="8"/>
    <n v="116.02275329115"/>
    <n v="9"/>
    <x v="554"/>
    <x v="554"/>
    <s v="Credit Card"/>
    <n v="730.94334573424408"/>
    <n v="0.30000000000000093"/>
    <m/>
  </r>
  <r>
    <s v="INV1556"/>
    <x v="2"/>
    <x v="2"/>
    <n v="1056"/>
    <x v="1"/>
    <x v="1"/>
    <x v="4"/>
    <x v="42"/>
    <n v="112.572039108412"/>
    <n v="5"/>
    <x v="555"/>
    <x v="555"/>
    <s v="E-Wallet"/>
    <n v="394.00213687944506"/>
    <n v="0.2999999999999996"/>
    <m/>
  </r>
  <r>
    <s v="INV1557"/>
    <x v="1"/>
    <x v="0"/>
    <n v="1447"/>
    <x v="0"/>
    <x v="1"/>
    <x v="5"/>
    <x v="40"/>
    <n v="97.718918458698695"/>
    <n v="8"/>
    <x v="556"/>
    <x v="556"/>
    <s v="Cash"/>
    <n v="547.22594336871293"/>
    <n v="0.29999999999999921"/>
    <m/>
  </r>
  <r>
    <s v="INV1558"/>
    <x v="1"/>
    <x v="1"/>
    <n v="1202"/>
    <x v="1"/>
    <x v="1"/>
    <x v="3"/>
    <x v="9"/>
    <n v="292.85825037246201"/>
    <n v="1"/>
    <x v="557"/>
    <x v="557"/>
    <s v="Cash"/>
    <n v="205.0007752607234"/>
    <n v="0.30000000000000004"/>
    <m/>
  </r>
  <r>
    <s v="INV1559"/>
    <x v="0"/>
    <x v="2"/>
    <n v="1737"/>
    <x v="1"/>
    <x v="1"/>
    <x v="1"/>
    <x v="38"/>
    <n v="59.333471019691601"/>
    <n v="7"/>
    <x v="558"/>
    <x v="558"/>
    <s v="E-Wallet"/>
    <n v="290.73400799648903"/>
    <n v="0.29999999999999927"/>
    <m/>
  </r>
  <r>
    <s v="INV1560"/>
    <x v="1"/>
    <x v="0"/>
    <n v="1201"/>
    <x v="0"/>
    <x v="1"/>
    <x v="5"/>
    <x v="75"/>
    <n v="270.489038546438"/>
    <n v="4"/>
    <x v="559"/>
    <x v="559"/>
    <s v="E-Wallet"/>
    <n v="757.36930793002489"/>
    <n v="0.30000000000000004"/>
    <m/>
  </r>
  <r>
    <s v="INV1561"/>
    <x v="0"/>
    <x v="0"/>
    <n v="2353"/>
    <x v="1"/>
    <x v="1"/>
    <x v="1"/>
    <x v="87"/>
    <n v="235.27296632056701"/>
    <n v="5"/>
    <x v="560"/>
    <x v="560"/>
    <s v="Cash"/>
    <n v="823.45538212197903"/>
    <n v="0.30000000000000165"/>
    <m/>
  </r>
  <r>
    <s v="INV1562"/>
    <x v="2"/>
    <x v="1"/>
    <n v="1362"/>
    <x v="1"/>
    <x v="0"/>
    <x v="2"/>
    <x v="18"/>
    <n v="32.179187094800703"/>
    <n v="6"/>
    <x v="561"/>
    <x v="561"/>
    <s v="Credit Card"/>
    <n v="135.15258579816259"/>
    <n v="0.3000000000000011"/>
    <m/>
  </r>
  <r>
    <s v="INV1563"/>
    <x v="1"/>
    <x v="2"/>
    <n v="1891"/>
    <x v="0"/>
    <x v="1"/>
    <x v="4"/>
    <x v="24"/>
    <n v="296.151439435246"/>
    <n v="5"/>
    <x v="562"/>
    <x v="562"/>
    <s v="Cash"/>
    <n v="1036.5300380233609"/>
    <n v="0.30000000000000004"/>
    <m/>
  </r>
  <r>
    <s v="INV1564"/>
    <x v="0"/>
    <x v="0"/>
    <n v="1453"/>
    <x v="0"/>
    <x v="0"/>
    <x v="3"/>
    <x v="59"/>
    <n v="88.696129426312993"/>
    <n v="1"/>
    <x v="563"/>
    <x v="563"/>
    <s v="Cash"/>
    <n v="62.087290598419088"/>
    <n v="0.3000000000000001"/>
    <m/>
  </r>
  <r>
    <s v="INV1565"/>
    <x v="0"/>
    <x v="1"/>
    <n v="1355"/>
    <x v="0"/>
    <x v="0"/>
    <x v="1"/>
    <x v="45"/>
    <n v="38.589048836499501"/>
    <n v="9"/>
    <x v="564"/>
    <x v="564"/>
    <s v="E-Wallet"/>
    <n v="243.11100766994804"/>
    <n v="0.2999999999999976"/>
    <m/>
  </r>
  <r>
    <s v="INV1566"/>
    <x v="2"/>
    <x v="0"/>
    <n v="1215"/>
    <x v="1"/>
    <x v="0"/>
    <x v="0"/>
    <x v="54"/>
    <n v="250.50112789647"/>
    <n v="2"/>
    <x v="565"/>
    <x v="565"/>
    <s v="E-Wallet"/>
    <n v="350.701579055058"/>
    <n v="0.3"/>
    <m/>
  </r>
  <r>
    <s v="INV1567"/>
    <x v="1"/>
    <x v="2"/>
    <n v="1971"/>
    <x v="0"/>
    <x v="0"/>
    <x v="1"/>
    <x v="76"/>
    <n v="214.93590476653199"/>
    <n v="9"/>
    <x v="566"/>
    <x v="566"/>
    <s v="Cash"/>
    <n v="1354.0962000291511"/>
    <n v="0.30000000000000099"/>
    <m/>
  </r>
  <r>
    <s v="INV1568"/>
    <x v="1"/>
    <x v="0"/>
    <n v="1554"/>
    <x v="1"/>
    <x v="1"/>
    <x v="0"/>
    <x v="16"/>
    <n v="188.99345370459099"/>
    <n v="2"/>
    <x v="567"/>
    <x v="567"/>
    <s v="Credit Card"/>
    <n v="264.59083518642797"/>
    <n v="0.29999999999999849"/>
    <m/>
  </r>
  <r>
    <s v="INV1569"/>
    <x v="0"/>
    <x v="0"/>
    <n v="1886"/>
    <x v="0"/>
    <x v="0"/>
    <x v="5"/>
    <x v="65"/>
    <n v="55.234450472690597"/>
    <n v="9"/>
    <x v="568"/>
    <x v="568"/>
    <s v="Cash"/>
    <n v="347.977037977951"/>
    <n v="0.29999999999999899"/>
    <m/>
  </r>
  <r>
    <s v="INV1570"/>
    <x v="1"/>
    <x v="0"/>
    <n v="1022"/>
    <x v="1"/>
    <x v="1"/>
    <x v="3"/>
    <x v="81"/>
    <n v="148.763873714228"/>
    <n v="6"/>
    <x v="569"/>
    <x v="569"/>
    <s v="Cash"/>
    <n v="624.80826959976093"/>
    <n v="0.30000000000000016"/>
    <m/>
  </r>
  <r>
    <s v="INV1571"/>
    <x v="0"/>
    <x v="0"/>
    <n v="1154"/>
    <x v="0"/>
    <x v="1"/>
    <x v="1"/>
    <x v="0"/>
    <n v="236.36124779729201"/>
    <n v="9"/>
    <x v="570"/>
    <x v="570"/>
    <s v="Credit Card"/>
    <n v="1489.0758611229321"/>
    <n v="0.30000000000000093"/>
    <m/>
  </r>
  <r>
    <s v="INV1572"/>
    <x v="1"/>
    <x v="1"/>
    <n v="2209"/>
    <x v="0"/>
    <x v="0"/>
    <x v="1"/>
    <x v="54"/>
    <n v="98.050942061713599"/>
    <n v="6"/>
    <x v="571"/>
    <x v="571"/>
    <s v="Cash"/>
    <n v="411.81395665919803"/>
    <n v="0.29999999999999893"/>
    <m/>
  </r>
  <r>
    <s v="INV1573"/>
    <x v="0"/>
    <x v="1"/>
    <n v="1248"/>
    <x v="0"/>
    <x v="1"/>
    <x v="3"/>
    <x v="35"/>
    <n v="100.39005026936201"/>
    <n v="6"/>
    <x v="572"/>
    <x v="572"/>
    <s v="Cash"/>
    <n v="421.63821113132104"/>
    <n v="0.29999999999999899"/>
    <m/>
  </r>
  <r>
    <s v="INV1574"/>
    <x v="1"/>
    <x v="2"/>
    <n v="1748"/>
    <x v="0"/>
    <x v="0"/>
    <x v="1"/>
    <x v="81"/>
    <n v="10.910862753955399"/>
    <n v="2"/>
    <x v="573"/>
    <x v="573"/>
    <s v="E-Wallet"/>
    <n v="15.275207855537559"/>
    <n v="0.3"/>
    <m/>
  </r>
  <r>
    <s v="INV1575"/>
    <x v="2"/>
    <x v="1"/>
    <n v="1804"/>
    <x v="1"/>
    <x v="0"/>
    <x v="0"/>
    <x v="53"/>
    <n v="60.53058647716"/>
    <n v="8"/>
    <x v="574"/>
    <x v="574"/>
    <s v="Credit Card"/>
    <n v="338.971284272096"/>
    <n v="0.3"/>
    <m/>
  </r>
  <r>
    <s v="INV1576"/>
    <x v="1"/>
    <x v="1"/>
    <n v="1133"/>
    <x v="0"/>
    <x v="1"/>
    <x v="1"/>
    <x v="55"/>
    <n v="263.86763128533198"/>
    <n v="3"/>
    <x v="575"/>
    <x v="575"/>
    <s v="E-Wallet"/>
    <n v="554.12202569919793"/>
    <n v="0.29999999999999905"/>
    <m/>
  </r>
  <r>
    <s v="INV1577"/>
    <x v="1"/>
    <x v="2"/>
    <n v="1320"/>
    <x v="0"/>
    <x v="1"/>
    <x v="4"/>
    <x v="73"/>
    <n v="138.106482574935"/>
    <n v="7"/>
    <x v="576"/>
    <x v="576"/>
    <s v="E-Wallet"/>
    <n v="676.72176461718198"/>
    <n v="0.29999999999999949"/>
    <m/>
  </r>
  <r>
    <s v="INV1578"/>
    <x v="2"/>
    <x v="1"/>
    <n v="1389"/>
    <x v="1"/>
    <x v="0"/>
    <x v="5"/>
    <x v="32"/>
    <n v="295.428004777985"/>
    <n v="5"/>
    <x v="577"/>
    <x v="577"/>
    <s v="Credit Card"/>
    <n v="1033.9980167229421"/>
    <n v="0.30000000000000127"/>
    <m/>
  </r>
  <r>
    <s v="INV1579"/>
    <x v="1"/>
    <x v="1"/>
    <n v="1433"/>
    <x v="0"/>
    <x v="1"/>
    <x v="2"/>
    <x v="41"/>
    <n v="124.755309436399"/>
    <n v="3"/>
    <x v="578"/>
    <x v="578"/>
    <s v="Credit Card"/>
    <n v="261.98614981644005"/>
    <n v="0.29999999999999805"/>
    <m/>
  </r>
  <r>
    <s v="INV1580"/>
    <x v="2"/>
    <x v="2"/>
    <n v="2045"/>
    <x v="1"/>
    <x v="1"/>
    <x v="0"/>
    <x v="71"/>
    <n v="217.40407188626901"/>
    <n v="1"/>
    <x v="579"/>
    <x v="579"/>
    <s v="Cash"/>
    <n v="152.18285032038813"/>
    <n v="0.30000000000000082"/>
    <m/>
  </r>
  <r>
    <s v="INV1581"/>
    <x v="1"/>
    <x v="2"/>
    <n v="1872"/>
    <x v="0"/>
    <x v="1"/>
    <x v="4"/>
    <x v="14"/>
    <n v="91.756522442371406"/>
    <n v="8"/>
    <x v="580"/>
    <x v="580"/>
    <s v="E-Wallet"/>
    <n v="513.83652567727995"/>
    <n v="0.29999999999999966"/>
    <m/>
  </r>
  <r>
    <s v="INV1582"/>
    <x v="0"/>
    <x v="2"/>
    <n v="2148"/>
    <x v="0"/>
    <x v="0"/>
    <x v="5"/>
    <x v="20"/>
    <n v="115.50479593087"/>
    <n v="3"/>
    <x v="581"/>
    <x v="581"/>
    <s v="Credit Card"/>
    <n v="242.56007145482903"/>
    <n v="0.29999999999999821"/>
    <m/>
  </r>
  <r>
    <s v="INV1583"/>
    <x v="0"/>
    <x v="0"/>
    <n v="2102"/>
    <x v="0"/>
    <x v="0"/>
    <x v="3"/>
    <x v="45"/>
    <n v="65.3105364013594"/>
    <n v="2"/>
    <x v="582"/>
    <x v="582"/>
    <s v="E-Wallet"/>
    <n v="91.434750961902409"/>
    <n v="0.30000000000000149"/>
    <m/>
  </r>
  <r>
    <s v="INV1584"/>
    <x v="1"/>
    <x v="0"/>
    <n v="1857"/>
    <x v="1"/>
    <x v="1"/>
    <x v="0"/>
    <x v="56"/>
    <n v="110.64808686482399"/>
    <n v="1"/>
    <x v="583"/>
    <x v="583"/>
    <s v="E-Wallet"/>
    <n v="77.4536608053767"/>
    <n v="0.30000000000000088"/>
    <m/>
  </r>
  <r>
    <s v="INV1585"/>
    <x v="1"/>
    <x v="2"/>
    <n v="1050"/>
    <x v="0"/>
    <x v="1"/>
    <x v="2"/>
    <x v="55"/>
    <n v="168.69888092198599"/>
    <n v="4"/>
    <x v="584"/>
    <x v="584"/>
    <s v="Credit Card"/>
    <n v="472.356866581563"/>
    <n v="0.29999999999999882"/>
    <m/>
  </r>
  <r>
    <s v="INV1586"/>
    <x v="1"/>
    <x v="2"/>
    <n v="1175"/>
    <x v="0"/>
    <x v="1"/>
    <x v="5"/>
    <x v="75"/>
    <n v="297.61413548398201"/>
    <n v="8"/>
    <x v="585"/>
    <x v="585"/>
    <s v="Cash"/>
    <n v="1666.639158710293"/>
    <n v="0.30000000000000088"/>
    <m/>
  </r>
  <r>
    <s v="INV1587"/>
    <x v="0"/>
    <x v="2"/>
    <n v="1869"/>
    <x v="0"/>
    <x v="1"/>
    <x v="2"/>
    <x v="64"/>
    <n v="202.61849679081701"/>
    <n v="3"/>
    <x v="586"/>
    <x v="586"/>
    <s v="E-Wallet"/>
    <n v="425.49884326071697"/>
    <n v="0.30000000000000021"/>
    <m/>
  </r>
  <r>
    <s v="INV1588"/>
    <x v="1"/>
    <x v="0"/>
    <n v="1252"/>
    <x v="1"/>
    <x v="1"/>
    <x v="3"/>
    <x v="75"/>
    <n v="67.781326778411"/>
    <n v="1"/>
    <x v="587"/>
    <x v="587"/>
    <s v="Credit Card"/>
    <n v="47.4469287448877"/>
    <n v="0.3"/>
    <m/>
  </r>
  <r>
    <s v="INV1589"/>
    <x v="0"/>
    <x v="0"/>
    <n v="1965"/>
    <x v="1"/>
    <x v="0"/>
    <x v="3"/>
    <x v="38"/>
    <n v="23.038818061549801"/>
    <n v="4"/>
    <x v="588"/>
    <x v="588"/>
    <s v="Cash"/>
    <n v="64.508690572339603"/>
    <n v="0.29999999999999899"/>
    <m/>
  </r>
  <r>
    <s v="INV1590"/>
    <x v="2"/>
    <x v="1"/>
    <n v="2269"/>
    <x v="0"/>
    <x v="1"/>
    <x v="0"/>
    <x v="78"/>
    <n v="46.643379581208002"/>
    <n v="9"/>
    <x v="589"/>
    <x v="589"/>
    <s v="E-Wallet"/>
    <n v="293.85329136161101"/>
    <n v="0.29999999999999849"/>
    <m/>
  </r>
  <r>
    <s v="INV1591"/>
    <x v="0"/>
    <x v="1"/>
    <n v="1738"/>
    <x v="1"/>
    <x v="0"/>
    <x v="1"/>
    <x v="61"/>
    <n v="173.141008369183"/>
    <n v="1"/>
    <x v="590"/>
    <x v="590"/>
    <s v="Credit Card"/>
    <n v="121.1987058584279"/>
    <n v="0.30000000000000115"/>
    <m/>
  </r>
  <r>
    <s v="INV1592"/>
    <x v="0"/>
    <x v="2"/>
    <n v="2129"/>
    <x v="0"/>
    <x v="1"/>
    <x v="3"/>
    <x v="79"/>
    <n v="231.896495356862"/>
    <n v="2"/>
    <x v="591"/>
    <x v="591"/>
    <s v="E-Wallet"/>
    <n v="324.65509349960701"/>
    <n v="0.29999999999999954"/>
    <m/>
  </r>
  <r>
    <s v="INV1593"/>
    <x v="2"/>
    <x v="0"/>
    <n v="2216"/>
    <x v="0"/>
    <x v="0"/>
    <x v="5"/>
    <x v="42"/>
    <n v="282.721570117216"/>
    <n v="9"/>
    <x v="592"/>
    <x v="592"/>
    <s v="Credit Card"/>
    <n v="1781.1458917384657"/>
    <n v="0.29999999999999966"/>
    <m/>
  </r>
  <r>
    <s v="INV1594"/>
    <x v="0"/>
    <x v="0"/>
    <n v="2339"/>
    <x v="0"/>
    <x v="1"/>
    <x v="1"/>
    <x v="69"/>
    <n v="14.588719879078001"/>
    <n v="2"/>
    <x v="593"/>
    <x v="593"/>
    <s v="Credit Card"/>
    <n v="20.424207830709182"/>
    <n v="0.30000000000000066"/>
    <m/>
  </r>
  <r>
    <s v="INV1595"/>
    <x v="1"/>
    <x v="0"/>
    <n v="1301"/>
    <x v="0"/>
    <x v="0"/>
    <x v="4"/>
    <x v="5"/>
    <n v="161.60044105294199"/>
    <n v="3"/>
    <x v="594"/>
    <x v="594"/>
    <s v="E-Wallet"/>
    <n v="339.36092621117803"/>
    <n v="0.30000000000000038"/>
    <m/>
  </r>
  <r>
    <s v="INV1596"/>
    <x v="1"/>
    <x v="2"/>
    <n v="1547"/>
    <x v="0"/>
    <x v="1"/>
    <x v="2"/>
    <x v="11"/>
    <n v="146.551533304721"/>
    <n v="7"/>
    <x v="595"/>
    <x v="595"/>
    <s v="E-Wallet"/>
    <n v="718.10251319312601"/>
    <n v="0.30000000000000193"/>
    <m/>
  </r>
  <r>
    <s v="INV1597"/>
    <x v="0"/>
    <x v="1"/>
    <n v="1715"/>
    <x v="0"/>
    <x v="0"/>
    <x v="1"/>
    <x v="53"/>
    <n v="200.25595637295399"/>
    <n v="3"/>
    <x v="596"/>
    <x v="596"/>
    <s v="Credit Card"/>
    <n v="420.537508383204"/>
    <n v="0.29999999999999899"/>
    <m/>
  </r>
  <r>
    <s v="INV1598"/>
    <x v="1"/>
    <x v="2"/>
    <n v="1778"/>
    <x v="0"/>
    <x v="0"/>
    <x v="2"/>
    <x v="79"/>
    <n v="172.277867794949"/>
    <n v="9"/>
    <x v="597"/>
    <x v="597"/>
    <s v="Cash"/>
    <n v="1085.350567108178"/>
    <n v="0.3"/>
    <m/>
  </r>
  <r>
    <s v="INV1599"/>
    <x v="0"/>
    <x v="1"/>
    <n v="1267"/>
    <x v="1"/>
    <x v="0"/>
    <x v="1"/>
    <x v="69"/>
    <n v="209.241353668919"/>
    <n v="6"/>
    <x v="598"/>
    <x v="598"/>
    <s v="E-Wallet"/>
    <n v="878.81368540945618"/>
    <n v="0.30000000000000071"/>
    <m/>
  </r>
  <r>
    <s v="INV1600"/>
    <x v="1"/>
    <x v="1"/>
    <n v="2193"/>
    <x v="1"/>
    <x v="0"/>
    <x v="4"/>
    <x v="69"/>
    <n v="200.84394957726499"/>
    <n v="3"/>
    <x v="599"/>
    <x v="599"/>
    <s v="Credit Card"/>
    <n v="421.77229411225699"/>
    <n v="0.29999999999999916"/>
    <m/>
  </r>
  <r>
    <s v="INV1601"/>
    <x v="1"/>
    <x v="2"/>
    <n v="2009"/>
    <x v="1"/>
    <x v="0"/>
    <x v="3"/>
    <x v="1"/>
    <n v="43.9334002088044"/>
    <n v="9"/>
    <x v="600"/>
    <x v="600"/>
    <s v="Credit Card"/>
    <n v="276.780421315468"/>
    <n v="0.29999999999999821"/>
    <m/>
  </r>
  <r>
    <s v="INV1602"/>
    <x v="0"/>
    <x v="1"/>
    <n v="1550"/>
    <x v="1"/>
    <x v="0"/>
    <x v="4"/>
    <x v="6"/>
    <n v="241.918194949428"/>
    <n v="1"/>
    <x v="601"/>
    <x v="601"/>
    <s v="Cash"/>
    <n v="169.3427364645994"/>
    <n v="0.30000000000000082"/>
    <m/>
  </r>
  <r>
    <s v="INV1603"/>
    <x v="1"/>
    <x v="1"/>
    <n v="2478"/>
    <x v="1"/>
    <x v="1"/>
    <x v="3"/>
    <x v="0"/>
    <n v="45.7374469577342"/>
    <n v="3"/>
    <x v="602"/>
    <x v="602"/>
    <s v="Cash"/>
    <n v="96.048638611241302"/>
    <n v="0.30000000000000077"/>
    <m/>
  </r>
  <r>
    <s v="INV1604"/>
    <x v="0"/>
    <x v="0"/>
    <n v="2315"/>
    <x v="1"/>
    <x v="0"/>
    <x v="3"/>
    <x v="85"/>
    <n v="212.573881310649"/>
    <n v="1"/>
    <x v="603"/>
    <x v="603"/>
    <s v="Cash"/>
    <n v="148.80171691745409"/>
    <n v="0.30000000000000099"/>
    <m/>
  </r>
  <r>
    <s v="INV1605"/>
    <x v="1"/>
    <x v="1"/>
    <n v="2164"/>
    <x v="1"/>
    <x v="1"/>
    <x v="2"/>
    <x v="88"/>
    <n v="130.682156615775"/>
    <n v="2"/>
    <x v="604"/>
    <x v="604"/>
    <s v="E-Wallet"/>
    <n v="182.95501926208553"/>
    <n v="0.30000000000000071"/>
    <m/>
  </r>
  <r>
    <s v="INV1606"/>
    <x v="1"/>
    <x v="2"/>
    <n v="2169"/>
    <x v="0"/>
    <x v="1"/>
    <x v="5"/>
    <x v="71"/>
    <n v="159.016713027213"/>
    <n v="8"/>
    <x v="605"/>
    <x v="605"/>
    <s v="Credit Card"/>
    <n v="890.49359295238787"/>
    <n v="0.3000000000000016"/>
    <m/>
  </r>
  <r>
    <s v="INV1607"/>
    <x v="2"/>
    <x v="2"/>
    <n v="2448"/>
    <x v="0"/>
    <x v="1"/>
    <x v="4"/>
    <x v="40"/>
    <n v="271.956424168956"/>
    <n v="7"/>
    <x v="606"/>
    <x v="606"/>
    <s v="Credit Card"/>
    <n v="1332.5864784278831"/>
    <n v="0.3"/>
    <m/>
  </r>
  <r>
    <s v="INV1608"/>
    <x v="2"/>
    <x v="1"/>
    <n v="1313"/>
    <x v="0"/>
    <x v="1"/>
    <x v="1"/>
    <x v="73"/>
    <n v="268.066280677311"/>
    <n v="2"/>
    <x v="607"/>
    <x v="607"/>
    <s v="Credit Card"/>
    <n v="375.29279294823596"/>
    <n v="0.29999999999999893"/>
    <m/>
  </r>
  <r>
    <s v="INV1609"/>
    <x v="0"/>
    <x v="0"/>
    <n v="1183"/>
    <x v="0"/>
    <x v="1"/>
    <x v="4"/>
    <x v="40"/>
    <n v="247.17832863995801"/>
    <n v="2"/>
    <x v="608"/>
    <x v="608"/>
    <s v="Cash"/>
    <n v="346.04966009594199"/>
    <n v="0.29999999999999982"/>
    <m/>
  </r>
  <r>
    <s v="INV1610"/>
    <x v="2"/>
    <x v="0"/>
    <n v="1712"/>
    <x v="1"/>
    <x v="0"/>
    <x v="2"/>
    <x v="49"/>
    <n v="157.943030332333"/>
    <n v="9"/>
    <x v="609"/>
    <x v="609"/>
    <s v="Credit Card"/>
    <n v="995.04109109369904"/>
    <n v="0.30000000000000071"/>
    <m/>
  </r>
  <r>
    <s v="INV1611"/>
    <x v="0"/>
    <x v="1"/>
    <n v="1127"/>
    <x v="1"/>
    <x v="0"/>
    <x v="3"/>
    <x v="37"/>
    <n v="223.50954493881099"/>
    <n v="6"/>
    <x v="610"/>
    <x v="610"/>
    <s v="E-Wallet"/>
    <n v="938.74008874299989"/>
    <n v="0.30000000000000154"/>
    <m/>
  </r>
  <r>
    <s v="INV1612"/>
    <x v="2"/>
    <x v="1"/>
    <n v="2310"/>
    <x v="0"/>
    <x v="0"/>
    <x v="2"/>
    <x v="35"/>
    <n v="158.74014610045401"/>
    <n v="5"/>
    <x v="611"/>
    <x v="611"/>
    <s v="Cash"/>
    <n v="555.59051135159098"/>
    <n v="0.30000000000000016"/>
    <m/>
  </r>
  <r>
    <s v="INV1613"/>
    <x v="1"/>
    <x v="2"/>
    <n v="2276"/>
    <x v="0"/>
    <x v="1"/>
    <x v="0"/>
    <x v="79"/>
    <n v="262.18576391768499"/>
    <n v="6"/>
    <x v="612"/>
    <x v="612"/>
    <s v="Cash"/>
    <n v="1101.1802084542769"/>
    <n v="0.30000000000000004"/>
    <m/>
  </r>
  <r>
    <s v="INV1614"/>
    <x v="0"/>
    <x v="1"/>
    <n v="1699"/>
    <x v="1"/>
    <x v="0"/>
    <x v="0"/>
    <x v="18"/>
    <n v="126.80499163754"/>
    <n v="9"/>
    <x v="613"/>
    <x v="613"/>
    <s v="Cash"/>
    <n v="798.87144731649994"/>
    <n v="0.30000000000000177"/>
    <m/>
  </r>
  <r>
    <s v="INV1615"/>
    <x v="0"/>
    <x v="0"/>
    <n v="1385"/>
    <x v="0"/>
    <x v="0"/>
    <x v="1"/>
    <x v="36"/>
    <n v="291.36824988031401"/>
    <n v="7"/>
    <x v="614"/>
    <x v="614"/>
    <s v="Cash"/>
    <n v="1427.70442441354"/>
    <n v="0.3"/>
    <m/>
  </r>
  <r>
    <s v="INV1616"/>
    <x v="1"/>
    <x v="1"/>
    <n v="2253"/>
    <x v="0"/>
    <x v="0"/>
    <x v="2"/>
    <x v="14"/>
    <n v="280.373599886374"/>
    <n v="9"/>
    <x v="615"/>
    <x v="615"/>
    <s v="E-Wallet"/>
    <n v="1766.3536792841592"/>
    <n v="0.29999999999999993"/>
    <m/>
  </r>
  <r>
    <s v="INV1617"/>
    <x v="0"/>
    <x v="2"/>
    <n v="1270"/>
    <x v="0"/>
    <x v="0"/>
    <x v="1"/>
    <x v="56"/>
    <n v="225.06475964101699"/>
    <n v="4"/>
    <x v="616"/>
    <x v="616"/>
    <s v="Credit Card"/>
    <n v="630.18132699485"/>
    <n v="0.29999999999999971"/>
    <m/>
  </r>
  <r>
    <s v="INV1618"/>
    <x v="0"/>
    <x v="2"/>
    <n v="1810"/>
    <x v="0"/>
    <x v="0"/>
    <x v="1"/>
    <x v="66"/>
    <n v="91.030606411060802"/>
    <n v="2"/>
    <x v="617"/>
    <x v="617"/>
    <s v="E-Wallet"/>
    <n v="127.44284897548451"/>
    <n v="0.3000000000000011"/>
    <m/>
  </r>
  <r>
    <s v="INV1619"/>
    <x v="2"/>
    <x v="2"/>
    <n v="1414"/>
    <x v="1"/>
    <x v="1"/>
    <x v="0"/>
    <x v="34"/>
    <n v="48.1795407500449"/>
    <n v="8"/>
    <x v="618"/>
    <x v="618"/>
    <s v="Credit Card"/>
    <n v="269.80542820025198"/>
    <n v="0.29999999999999821"/>
    <m/>
  </r>
  <r>
    <s v="INV1620"/>
    <x v="0"/>
    <x v="2"/>
    <n v="1197"/>
    <x v="0"/>
    <x v="0"/>
    <x v="1"/>
    <x v="31"/>
    <n v="257.86400052702697"/>
    <n v="4"/>
    <x v="619"/>
    <x v="619"/>
    <s v="E-Wallet"/>
    <n v="722.01920147566796"/>
    <n v="0.30000000000000193"/>
    <m/>
  </r>
  <r>
    <s v="INV1621"/>
    <x v="1"/>
    <x v="2"/>
    <n v="2346"/>
    <x v="0"/>
    <x v="1"/>
    <x v="0"/>
    <x v="30"/>
    <n v="57.937662980008703"/>
    <n v="9"/>
    <x v="620"/>
    <x v="620"/>
    <s v="Cash"/>
    <n v="365.00727677405501"/>
    <n v="0.29999999999999921"/>
    <m/>
  </r>
  <r>
    <s v="INV1622"/>
    <x v="2"/>
    <x v="1"/>
    <n v="2079"/>
    <x v="1"/>
    <x v="1"/>
    <x v="3"/>
    <x v="4"/>
    <n v="257.73562880922702"/>
    <n v="4"/>
    <x v="621"/>
    <x v="621"/>
    <s v="Cash"/>
    <n v="721.65976066582789"/>
    <n v="0.30000000000000199"/>
    <m/>
  </r>
  <r>
    <s v="INV1623"/>
    <x v="2"/>
    <x v="1"/>
    <n v="1830"/>
    <x v="1"/>
    <x v="1"/>
    <x v="2"/>
    <x v="55"/>
    <n v="152.32185194658399"/>
    <n v="8"/>
    <x v="622"/>
    <x v="622"/>
    <s v="E-Wallet"/>
    <n v="853.00237090086807"/>
    <n v="0.30000000000000082"/>
    <m/>
  </r>
  <r>
    <s v="INV1624"/>
    <x v="1"/>
    <x v="1"/>
    <n v="2226"/>
    <x v="0"/>
    <x v="1"/>
    <x v="1"/>
    <x v="39"/>
    <n v="127.90146730435001"/>
    <n v="9"/>
    <x v="623"/>
    <x v="623"/>
    <s v="E-Wallet"/>
    <n v="805.77924401740506"/>
    <n v="0.3"/>
    <m/>
  </r>
  <r>
    <s v="INV1625"/>
    <x v="1"/>
    <x v="1"/>
    <n v="1627"/>
    <x v="1"/>
    <x v="1"/>
    <x v="0"/>
    <x v="62"/>
    <n v="271.92532586198399"/>
    <n v="9"/>
    <x v="624"/>
    <x v="624"/>
    <s v="Credit Card"/>
    <n v="1713.1295529305016"/>
    <n v="0.3000000000000001"/>
    <m/>
  </r>
  <r>
    <s v="INV1626"/>
    <x v="2"/>
    <x v="2"/>
    <n v="1603"/>
    <x v="0"/>
    <x v="0"/>
    <x v="4"/>
    <x v="22"/>
    <n v="185.11678493668001"/>
    <n v="4"/>
    <x v="625"/>
    <x v="625"/>
    <s v="E-Wallet"/>
    <n v="518.32699782270595"/>
    <n v="0.29999999999999921"/>
    <m/>
  </r>
  <r>
    <s v="INV1627"/>
    <x v="0"/>
    <x v="0"/>
    <n v="2161"/>
    <x v="0"/>
    <x v="0"/>
    <x v="1"/>
    <x v="71"/>
    <n v="177.21806206761801"/>
    <n v="1"/>
    <x v="626"/>
    <x v="626"/>
    <s v="E-Wallet"/>
    <n v="124.0526434473326"/>
    <n v="0.30000000000000004"/>
    <m/>
  </r>
  <r>
    <s v="INV1628"/>
    <x v="2"/>
    <x v="1"/>
    <n v="2445"/>
    <x v="1"/>
    <x v="0"/>
    <x v="5"/>
    <x v="14"/>
    <n v="172.042123941075"/>
    <n v="3"/>
    <x v="627"/>
    <x v="627"/>
    <s v="Credit Card"/>
    <n v="361.288460276259"/>
    <n v="0.29999999999999843"/>
    <m/>
  </r>
  <r>
    <s v="INV1629"/>
    <x v="1"/>
    <x v="0"/>
    <n v="2080"/>
    <x v="0"/>
    <x v="1"/>
    <x v="3"/>
    <x v="30"/>
    <n v="117.63915964566399"/>
    <n v="9"/>
    <x v="628"/>
    <x v="628"/>
    <s v="Credit Card"/>
    <n v="741.12670576767709"/>
    <n v="0.30000000000000182"/>
    <m/>
  </r>
  <r>
    <s v="INV1630"/>
    <x v="2"/>
    <x v="1"/>
    <n v="2009"/>
    <x v="0"/>
    <x v="0"/>
    <x v="3"/>
    <x v="49"/>
    <n v="237.83650002344601"/>
    <n v="4"/>
    <x v="629"/>
    <x v="629"/>
    <s v="Credit Card"/>
    <n v="665.94220006565092"/>
    <n v="0.3"/>
    <m/>
  </r>
  <r>
    <s v="INV1631"/>
    <x v="1"/>
    <x v="1"/>
    <n v="1070"/>
    <x v="0"/>
    <x v="0"/>
    <x v="4"/>
    <x v="20"/>
    <n v="83.311548764574098"/>
    <n v="5"/>
    <x v="630"/>
    <x v="630"/>
    <s v="E-Wallet"/>
    <n v="291.59042067600899"/>
    <n v="0.30000000000000004"/>
    <m/>
  </r>
  <r>
    <s v="INV1632"/>
    <x v="2"/>
    <x v="0"/>
    <n v="1910"/>
    <x v="0"/>
    <x v="1"/>
    <x v="0"/>
    <x v="69"/>
    <n v="282.27953841196899"/>
    <n v="7"/>
    <x v="631"/>
    <x v="631"/>
    <s v="Credit Card"/>
    <n v="1383.1697382186439"/>
    <n v="0.30000000000000099"/>
    <m/>
  </r>
  <r>
    <s v="INV1633"/>
    <x v="0"/>
    <x v="2"/>
    <n v="1593"/>
    <x v="1"/>
    <x v="1"/>
    <x v="1"/>
    <x v="70"/>
    <n v="269.25570946361802"/>
    <n v="5"/>
    <x v="632"/>
    <x v="632"/>
    <s v="Cash"/>
    <n v="942.39498312266301"/>
    <n v="0.3"/>
    <m/>
  </r>
  <r>
    <s v="INV1634"/>
    <x v="2"/>
    <x v="1"/>
    <n v="2395"/>
    <x v="1"/>
    <x v="1"/>
    <x v="0"/>
    <x v="36"/>
    <n v="107.86929444572"/>
    <n v="4"/>
    <x v="633"/>
    <x v="633"/>
    <s v="Cash"/>
    <n v="302.03402444801696"/>
    <n v="0.29999999999999932"/>
    <m/>
  </r>
  <r>
    <s v="INV1635"/>
    <x v="2"/>
    <x v="1"/>
    <n v="1599"/>
    <x v="0"/>
    <x v="1"/>
    <x v="3"/>
    <x v="68"/>
    <n v="221.54449325118199"/>
    <n v="2"/>
    <x v="634"/>
    <x v="634"/>
    <s v="Cash"/>
    <n v="310.16229055165502"/>
    <n v="0.29999999999999949"/>
    <m/>
  </r>
  <r>
    <s v="INV1636"/>
    <x v="1"/>
    <x v="1"/>
    <n v="1513"/>
    <x v="1"/>
    <x v="0"/>
    <x v="0"/>
    <x v="21"/>
    <n v="176.23472639038101"/>
    <n v="2"/>
    <x v="635"/>
    <x v="635"/>
    <s v="E-Wallet"/>
    <n v="246.728616946535"/>
    <n v="0.29999999999999744"/>
    <m/>
  </r>
  <r>
    <s v="INV1637"/>
    <x v="1"/>
    <x v="0"/>
    <n v="1083"/>
    <x v="0"/>
    <x v="1"/>
    <x v="3"/>
    <x v="18"/>
    <n v="107.918297579778"/>
    <n v="4"/>
    <x v="636"/>
    <x v="636"/>
    <s v="Cash"/>
    <n v="302.17123322337898"/>
    <n v="0.29999999999999866"/>
    <m/>
  </r>
  <r>
    <s v="INV1638"/>
    <x v="1"/>
    <x v="2"/>
    <n v="1993"/>
    <x v="0"/>
    <x v="1"/>
    <x v="0"/>
    <x v="0"/>
    <n v="296.67127791867898"/>
    <n v="9"/>
    <x v="637"/>
    <x v="637"/>
    <s v="E-Wallet"/>
    <n v="1869.029050887676"/>
    <n v="0.30000000000000038"/>
    <m/>
  </r>
  <r>
    <s v="INV1639"/>
    <x v="2"/>
    <x v="0"/>
    <n v="2066"/>
    <x v="0"/>
    <x v="0"/>
    <x v="4"/>
    <x v="10"/>
    <n v="17.318830295996602"/>
    <n v="8"/>
    <x v="638"/>
    <x v="638"/>
    <s v="E-Wallet"/>
    <n v="96.98544965758019"/>
    <n v="0.30000000000000143"/>
    <m/>
  </r>
  <r>
    <s v="INV1640"/>
    <x v="0"/>
    <x v="0"/>
    <n v="1838"/>
    <x v="0"/>
    <x v="0"/>
    <x v="2"/>
    <x v="9"/>
    <n v="83.267348880173103"/>
    <n v="3"/>
    <x v="639"/>
    <x v="639"/>
    <s v="Cash"/>
    <n v="174.86143264836318"/>
    <n v="0.30000000000000049"/>
    <m/>
  </r>
  <r>
    <s v="INV1641"/>
    <x v="1"/>
    <x v="2"/>
    <n v="1605"/>
    <x v="0"/>
    <x v="1"/>
    <x v="4"/>
    <x v="24"/>
    <n v="160.821477722233"/>
    <n v="9"/>
    <x v="640"/>
    <x v="640"/>
    <s v="Credit Card"/>
    <n v="1013.1753096500701"/>
    <n v="0.3"/>
    <m/>
  </r>
  <r>
    <s v="INV1642"/>
    <x v="1"/>
    <x v="0"/>
    <n v="1809"/>
    <x v="1"/>
    <x v="0"/>
    <x v="4"/>
    <x v="51"/>
    <n v="161.36637100878301"/>
    <n v="5"/>
    <x v="641"/>
    <x v="641"/>
    <s v="E-Wallet"/>
    <n v="564.78229853074208"/>
    <n v="0.29999999999999977"/>
    <m/>
  </r>
  <r>
    <s v="INV1643"/>
    <x v="2"/>
    <x v="2"/>
    <n v="1132"/>
    <x v="0"/>
    <x v="1"/>
    <x v="2"/>
    <x v="67"/>
    <n v="180.790591734213"/>
    <n v="3"/>
    <x v="642"/>
    <x v="642"/>
    <s v="Cash"/>
    <n v="379.66024264184807"/>
    <n v="0.29999999999999993"/>
    <m/>
  </r>
  <r>
    <s v="INV1644"/>
    <x v="1"/>
    <x v="1"/>
    <n v="2418"/>
    <x v="1"/>
    <x v="1"/>
    <x v="2"/>
    <x v="28"/>
    <n v="227.986089886646"/>
    <n v="5"/>
    <x v="643"/>
    <x v="643"/>
    <s v="E-Wallet"/>
    <n v="797.95131460326104"/>
    <n v="0.3"/>
    <m/>
  </r>
  <r>
    <s v="INV1645"/>
    <x v="0"/>
    <x v="2"/>
    <n v="2088"/>
    <x v="1"/>
    <x v="0"/>
    <x v="1"/>
    <x v="16"/>
    <n v="190.808570850595"/>
    <n v="4"/>
    <x v="644"/>
    <x v="644"/>
    <s v="Credit Card"/>
    <n v="534.26399838166799"/>
    <n v="0.3000000000000001"/>
    <m/>
  </r>
  <r>
    <s v="INV1646"/>
    <x v="0"/>
    <x v="1"/>
    <n v="1289"/>
    <x v="0"/>
    <x v="0"/>
    <x v="1"/>
    <x v="89"/>
    <n v="184.08162355312999"/>
    <n v="8"/>
    <x v="645"/>
    <x v="645"/>
    <s v="Credit Card"/>
    <n v="1030.857091897527"/>
    <n v="0.30000000000000066"/>
    <m/>
  </r>
  <r>
    <s v="INV1647"/>
    <x v="1"/>
    <x v="0"/>
    <n v="1375"/>
    <x v="0"/>
    <x v="1"/>
    <x v="4"/>
    <x v="0"/>
    <n v="25.519194244782501"/>
    <n v="5"/>
    <x v="646"/>
    <x v="646"/>
    <s v="Cash"/>
    <n v="89.317179856738193"/>
    <n v="0.30000000000000165"/>
    <m/>
  </r>
  <r>
    <s v="INV1648"/>
    <x v="1"/>
    <x v="0"/>
    <n v="1768"/>
    <x v="0"/>
    <x v="1"/>
    <x v="4"/>
    <x v="41"/>
    <n v="119.19378345889599"/>
    <n v="8"/>
    <x v="647"/>
    <x v="647"/>
    <s v="E-Wallet"/>
    <n v="667.48518736982101"/>
    <n v="0.29999999999999938"/>
    <m/>
  </r>
  <r>
    <s v="INV1649"/>
    <x v="2"/>
    <x v="1"/>
    <n v="1466"/>
    <x v="0"/>
    <x v="1"/>
    <x v="3"/>
    <x v="52"/>
    <n v="77.296164513335199"/>
    <n v="9"/>
    <x v="648"/>
    <x v="648"/>
    <s v="E-Wallet"/>
    <n v="486.96583643401198"/>
    <n v="0.29999999999999988"/>
    <m/>
  </r>
  <r>
    <s v="INV1650"/>
    <x v="0"/>
    <x v="0"/>
    <n v="2236"/>
    <x v="0"/>
    <x v="0"/>
    <x v="3"/>
    <x v="82"/>
    <n v="86.957332364572807"/>
    <n v="4"/>
    <x v="649"/>
    <x v="649"/>
    <s v="E-Wallet"/>
    <n v="243.48053062080402"/>
    <n v="0.2999999999999991"/>
    <m/>
  </r>
  <r>
    <s v="INV1651"/>
    <x v="0"/>
    <x v="2"/>
    <n v="2171"/>
    <x v="1"/>
    <x v="1"/>
    <x v="1"/>
    <x v="36"/>
    <n v="170.75786755870001"/>
    <n v="7"/>
    <x v="650"/>
    <x v="650"/>
    <s v="E-Wallet"/>
    <n v="836.71355103762994"/>
    <n v="0.30000000000000004"/>
    <m/>
  </r>
  <r>
    <s v="INV1652"/>
    <x v="1"/>
    <x v="1"/>
    <n v="1470"/>
    <x v="0"/>
    <x v="1"/>
    <x v="5"/>
    <x v="55"/>
    <n v="67.856541329586406"/>
    <n v="2"/>
    <x v="651"/>
    <x v="651"/>
    <s v="Cash"/>
    <n v="94.999157861420187"/>
    <n v="0.30000000000000149"/>
    <m/>
  </r>
  <r>
    <s v="INV1653"/>
    <x v="2"/>
    <x v="0"/>
    <n v="1148"/>
    <x v="0"/>
    <x v="1"/>
    <x v="5"/>
    <x v="88"/>
    <n v="95.245239294900202"/>
    <n v="6"/>
    <x v="652"/>
    <x v="652"/>
    <s v="Credit Card"/>
    <n v="400.03000503858095"/>
    <n v="0.29999999999999949"/>
    <m/>
  </r>
  <r>
    <s v="INV1654"/>
    <x v="0"/>
    <x v="1"/>
    <n v="1087"/>
    <x v="1"/>
    <x v="1"/>
    <x v="1"/>
    <x v="60"/>
    <n v="78.754565470028595"/>
    <n v="8"/>
    <x v="653"/>
    <x v="653"/>
    <s v="Cash"/>
    <n v="441.02556663216103"/>
    <n v="0.29999999999999882"/>
    <m/>
  </r>
  <r>
    <s v="INV1655"/>
    <x v="0"/>
    <x v="2"/>
    <n v="2347"/>
    <x v="1"/>
    <x v="1"/>
    <x v="3"/>
    <x v="5"/>
    <n v="285.06585353327603"/>
    <n v="7"/>
    <x v="654"/>
    <x v="654"/>
    <s v="E-Wallet"/>
    <n v="1396.8226823130499"/>
    <n v="0.30000000000000054"/>
    <m/>
  </r>
  <r>
    <s v="INV1656"/>
    <x v="2"/>
    <x v="2"/>
    <n v="1395"/>
    <x v="0"/>
    <x v="0"/>
    <x v="3"/>
    <x v="0"/>
    <n v="283.95306232961701"/>
    <n v="7"/>
    <x v="655"/>
    <x v="655"/>
    <s v="E-Wallet"/>
    <n v="1391.3700054151241"/>
    <n v="0.29999999999999993"/>
    <m/>
  </r>
  <r>
    <s v="INV1657"/>
    <x v="2"/>
    <x v="0"/>
    <n v="1789"/>
    <x v="1"/>
    <x v="1"/>
    <x v="5"/>
    <x v="34"/>
    <n v="186.883051992855"/>
    <n v="8"/>
    <x v="656"/>
    <x v="656"/>
    <s v="Credit Card"/>
    <n v="1046.545091159988"/>
    <n v="0.3"/>
    <m/>
  </r>
  <r>
    <s v="INV1658"/>
    <x v="0"/>
    <x v="2"/>
    <n v="2427"/>
    <x v="0"/>
    <x v="1"/>
    <x v="0"/>
    <x v="72"/>
    <n v="278.111515932251"/>
    <n v="7"/>
    <x v="657"/>
    <x v="657"/>
    <s v="E-Wallet"/>
    <n v="1362.7464280680229"/>
    <n v="0.3000000000000011"/>
    <m/>
  </r>
  <r>
    <s v="INV1659"/>
    <x v="0"/>
    <x v="1"/>
    <n v="2105"/>
    <x v="1"/>
    <x v="1"/>
    <x v="0"/>
    <x v="28"/>
    <n v="237.885667185828"/>
    <n v="5"/>
    <x v="658"/>
    <x v="658"/>
    <s v="Cash"/>
    <n v="832.59983515039812"/>
    <n v="0.29999999999999993"/>
    <m/>
  </r>
  <r>
    <s v="INV1660"/>
    <x v="2"/>
    <x v="2"/>
    <n v="2309"/>
    <x v="1"/>
    <x v="1"/>
    <x v="3"/>
    <x v="42"/>
    <n v="181.08488601252401"/>
    <n v="7"/>
    <x v="659"/>
    <x v="659"/>
    <s v="Cash"/>
    <n v="887.31594146136899"/>
    <n v="0.30000000000000004"/>
    <m/>
  </r>
  <r>
    <s v="INV1661"/>
    <x v="0"/>
    <x v="1"/>
    <n v="2405"/>
    <x v="0"/>
    <x v="0"/>
    <x v="0"/>
    <x v="45"/>
    <n v="11.8662113340707"/>
    <n v="3"/>
    <x v="660"/>
    <x v="660"/>
    <s v="Credit Card"/>
    <n v="24.9190438015486"/>
    <n v="0.29999999999999832"/>
    <m/>
  </r>
  <r>
    <s v="INV1662"/>
    <x v="1"/>
    <x v="1"/>
    <n v="1864"/>
    <x v="1"/>
    <x v="0"/>
    <x v="2"/>
    <x v="56"/>
    <n v="234.02972296302701"/>
    <n v="5"/>
    <x v="661"/>
    <x v="661"/>
    <s v="Cash"/>
    <n v="819.10403037058995"/>
    <n v="0.30000000000000093"/>
    <m/>
  </r>
  <r>
    <s v="INV1663"/>
    <x v="1"/>
    <x v="2"/>
    <n v="2293"/>
    <x v="1"/>
    <x v="0"/>
    <x v="1"/>
    <x v="75"/>
    <n v="213.721619060655"/>
    <n v="7"/>
    <x v="662"/>
    <x v="662"/>
    <s v="Cash"/>
    <n v="1047.2359333972131"/>
    <n v="0.29999999999999993"/>
    <m/>
  </r>
  <r>
    <s v="INV1664"/>
    <x v="2"/>
    <x v="0"/>
    <n v="2315"/>
    <x v="1"/>
    <x v="1"/>
    <x v="1"/>
    <x v="40"/>
    <n v="188.42355945189999"/>
    <n v="9"/>
    <x v="663"/>
    <x v="663"/>
    <s v="Cash"/>
    <n v="1187.0684245469699"/>
    <n v="0.3"/>
    <m/>
  </r>
  <r>
    <s v="INV1665"/>
    <x v="2"/>
    <x v="2"/>
    <n v="2476"/>
    <x v="1"/>
    <x v="1"/>
    <x v="3"/>
    <x v="9"/>
    <n v="230.52305038791599"/>
    <n v="2"/>
    <x v="664"/>
    <x v="664"/>
    <s v="Cash"/>
    <n v="322.73227054308302"/>
    <n v="0.30000000000000016"/>
    <m/>
  </r>
  <r>
    <s v="INV1666"/>
    <x v="2"/>
    <x v="1"/>
    <n v="1023"/>
    <x v="1"/>
    <x v="0"/>
    <x v="4"/>
    <x v="42"/>
    <n v="158.747427784682"/>
    <n v="4"/>
    <x v="665"/>
    <x v="665"/>
    <s v="E-Wallet"/>
    <n v="444.49279779711003"/>
    <n v="0.29999999999999932"/>
    <m/>
  </r>
  <r>
    <s v="INV1667"/>
    <x v="1"/>
    <x v="1"/>
    <n v="1955"/>
    <x v="1"/>
    <x v="0"/>
    <x v="5"/>
    <x v="24"/>
    <n v="214.184148683188"/>
    <n v="7"/>
    <x v="666"/>
    <x v="666"/>
    <s v="Cash"/>
    <n v="1049.502328547615"/>
    <n v="0.30000000000000132"/>
    <m/>
  </r>
  <r>
    <s v="INV1668"/>
    <x v="0"/>
    <x v="2"/>
    <n v="1310"/>
    <x v="0"/>
    <x v="0"/>
    <x v="3"/>
    <x v="82"/>
    <n v="281.19990515068298"/>
    <n v="1"/>
    <x v="667"/>
    <x v="667"/>
    <s v="Credit Card"/>
    <n v="196.83993360547808"/>
    <n v="0.30000000000000004"/>
    <m/>
  </r>
  <r>
    <s v="INV1669"/>
    <x v="1"/>
    <x v="0"/>
    <n v="2484"/>
    <x v="0"/>
    <x v="1"/>
    <x v="0"/>
    <x v="53"/>
    <n v="118.983454595365"/>
    <n v="2"/>
    <x v="668"/>
    <x v="668"/>
    <s v="Credit Card"/>
    <n v="166.576836433511"/>
    <n v="0.3"/>
    <m/>
  </r>
  <r>
    <s v="INV1670"/>
    <x v="0"/>
    <x v="0"/>
    <n v="2231"/>
    <x v="1"/>
    <x v="1"/>
    <x v="5"/>
    <x v="24"/>
    <n v="215.35533212118099"/>
    <n v="9"/>
    <x v="669"/>
    <x v="669"/>
    <s v="Cash"/>
    <n v="1356.7385923634411"/>
    <n v="0.3"/>
    <m/>
  </r>
  <r>
    <s v="INV1671"/>
    <x v="1"/>
    <x v="1"/>
    <n v="1663"/>
    <x v="0"/>
    <x v="0"/>
    <x v="4"/>
    <x v="47"/>
    <n v="147.949467223178"/>
    <n v="7"/>
    <x v="670"/>
    <x v="670"/>
    <s v="Credit Card"/>
    <n v="724.95238939356705"/>
    <n v="0.30000000000000093"/>
    <m/>
  </r>
  <r>
    <s v="INV1672"/>
    <x v="0"/>
    <x v="1"/>
    <n v="1437"/>
    <x v="0"/>
    <x v="0"/>
    <x v="0"/>
    <x v="2"/>
    <n v="205.575899026054"/>
    <n v="7"/>
    <x v="671"/>
    <x v="671"/>
    <s v="Cash"/>
    <n v="1007.3219052276661"/>
    <n v="0.3"/>
    <m/>
  </r>
  <r>
    <s v="INV1673"/>
    <x v="1"/>
    <x v="0"/>
    <n v="1705"/>
    <x v="0"/>
    <x v="0"/>
    <x v="2"/>
    <x v="61"/>
    <n v="231.23906731076499"/>
    <n v="6"/>
    <x v="672"/>
    <x v="672"/>
    <s v="Credit Card"/>
    <n v="971.20408270521193"/>
    <n v="0.30000000000000077"/>
    <m/>
  </r>
  <r>
    <s v="INV1674"/>
    <x v="2"/>
    <x v="2"/>
    <n v="2359"/>
    <x v="1"/>
    <x v="1"/>
    <x v="0"/>
    <x v="55"/>
    <n v="23.181225126380799"/>
    <n v="3"/>
    <x v="673"/>
    <x v="673"/>
    <s v="Credit Card"/>
    <n v="48.680572765399702"/>
    <n v="0.29999999999999966"/>
    <m/>
  </r>
  <r>
    <s v="INV1675"/>
    <x v="1"/>
    <x v="1"/>
    <n v="1421"/>
    <x v="0"/>
    <x v="1"/>
    <x v="2"/>
    <x v="77"/>
    <n v="197.51412874511101"/>
    <n v="3"/>
    <x v="674"/>
    <x v="674"/>
    <s v="Cash"/>
    <n v="414.77967036473501"/>
    <n v="0.29999999999999916"/>
    <m/>
  </r>
  <r>
    <s v="INV1676"/>
    <x v="0"/>
    <x v="1"/>
    <n v="1320"/>
    <x v="1"/>
    <x v="1"/>
    <x v="5"/>
    <x v="64"/>
    <n v="75.754943478013899"/>
    <n v="2"/>
    <x v="675"/>
    <x v="675"/>
    <s v="Cash"/>
    <n v="106.0569208692187"/>
    <n v="0.30000000000000132"/>
    <m/>
  </r>
  <r>
    <s v="INV1677"/>
    <x v="1"/>
    <x v="0"/>
    <n v="1586"/>
    <x v="0"/>
    <x v="0"/>
    <x v="2"/>
    <x v="4"/>
    <n v="204.30943596419399"/>
    <n v="6"/>
    <x v="676"/>
    <x v="676"/>
    <s v="E-Wallet"/>
    <n v="858.09963104961116"/>
    <n v="0.30000000000000077"/>
    <m/>
  </r>
  <r>
    <s v="INV1678"/>
    <x v="1"/>
    <x v="2"/>
    <n v="1946"/>
    <x v="1"/>
    <x v="0"/>
    <x v="5"/>
    <x v="5"/>
    <n v="145.81575392080501"/>
    <n v="4"/>
    <x v="677"/>
    <x v="677"/>
    <s v="Cash"/>
    <n v="408.28411097825597"/>
    <n v="0.30000000000000021"/>
    <m/>
  </r>
  <r>
    <s v="INV1679"/>
    <x v="1"/>
    <x v="0"/>
    <n v="2186"/>
    <x v="1"/>
    <x v="1"/>
    <x v="5"/>
    <x v="5"/>
    <n v="234.33029514081699"/>
    <n v="5"/>
    <x v="678"/>
    <x v="678"/>
    <s v="Cash"/>
    <n v="820.15603299285499"/>
    <n v="0.30000000000000088"/>
    <m/>
  </r>
  <r>
    <s v="INV1680"/>
    <x v="2"/>
    <x v="2"/>
    <n v="2188"/>
    <x v="0"/>
    <x v="0"/>
    <x v="5"/>
    <x v="17"/>
    <n v="45.786236409622902"/>
    <n v="3"/>
    <x v="679"/>
    <x v="679"/>
    <s v="E-Wallet"/>
    <n v="96.151096460207413"/>
    <n v="0.30000000000000143"/>
    <m/>
  </r>
  <r>
    <s v="INV1681"/>
    <x v="1"/>
    <x v="2"/>
    <n v="1848"/>
    <x v="0"/>
    <x v="1"/>
    <x v="5"/>
    <x v="51"/>
    <n v="191.63348198029601"/>
    <n v="6"/>
    <x v="680"/>
    <x v="680"/>
    <s v="Cash"/>
    <n v="804.86062431723701"/>
    <n v="0.30000000000000171"/>
    <m/>
  </r>
  <r>
    <s v="INV1682"/>
    <x v="2"/>
    <x v="2"/>
    <n v="2318"/>
    <x v="1"/>
    <x v="0"/>
    <x v="5"/>
    <x v="47"/>
    <n v="90.756511388990106"/>
    <n v="3"/>
    <x v="681"/>
    <x v="681"/>
    <s v="Cash"/>
    <n v="190.58867391687892"/>
    <n v="0.30000000000000032"/>
    <m/>
  </r>
  <r>
    <s v="INV1683"/>
    <x v="2"/>
    <x v="1"/>
    <n v="1041"/>
    <x v="0"/>
    <x v="0"/>
    <x v="0"/>
    <x v="35"/>
    <n v="257.36477864587101"/>
    <n v="8"/>
    <x v="682"/>
    <x v="682"/>
    <s v="E-Wallet"/>
    <n v="1441.2427604168788"/>
    <n v="0.30000000000000004"/>
    <m/>
  </r>
  <r>
    <s v="INV1684"/>
    <x v="1"/>
    <x v="0"/>
    <n v="2308"/>
    <x v="0"/>
    <x v="0"/>
    <x v="5"/>
    <x v="15"/>
    <n v="279.23121663452901"/>
    <n v="9"/>
    <x v="683"/>
    <x v="683"/>
    <s v="Cash"/>
    <n v="1759.1566647975319"/>
    <n v="0.3"/>
    <m/>
  </r>
  <r>
    <s v="INV1685"/>
    <x v="1"/>
    <x v="0"/>
    <n v="1938"/>
    <x v="0"/>
    <x v="0"/>
    <x v="0"/>
    <x v="52"/>
    <n v="298.955505166926"/>
    <n v="4"/>
    <x v="684"/>
    <x v="684"/>
    <s v="Cash"/>
    <n v="837.0754144673889"/>
    <n v="0.30000000000000088"/>
    <m/>
  </r>
  <r>
    <s v="INV1686"/>
    <x v="1"/>
    <x v="2"/>
    <n v="1386"/>
    <x v="1"/>
    <x v="1"/>
    <x v="5"/>
    <x v="19"/>
    <n v="240.84214670391199"/>
    <n v="9"/>
    <x v="685"/>
    <x v="685"/>
    <s v="E-Wallet"/>
    <n v="1517.3055242346381"/>
    <n v="0.30000000000000088"/>
    <m/>
  </r>
  <r>
    <s v="INV1687"/>
    <x v="0"/>
    <x v="1"/>
    <n v="2161"/>
    <x v="1"/>
    <x v="0"/>
    <x v="2"/>
    <x v="4"/>
    <n v="228.58288042412099"/>
    <n v="7"/>
    <x v="686"/>
    <x v="686"/>
    <s v="E-Wallet"/>
    <n v="1120.0561140781861"/>
    <n v="0.30000000000000127"/>
    <m/>
  </r>
  <r>
    <s v="INV1688"/>
    <x v="1"/>
    <x v="1"/>
    <n v="2210"/>
    <x v="0"/>
    <x v="1"/>
    <x v="5"/>
    <x v="14"/>
    <n v="72.495220071589799"/>
    <n v="3"/>
    <x v="687"/>
    <x v="687"/>
    <s v="Credit Card"/>
    <n v="152.23996215033821"/>
    <n v="0.30000000000000043"/>
    <m/>
  </r>
  <r>
    <s v="INV1689"/>
    <x v="2"/>
    <x v="0"/>
    <n v="1909"/>
    <x v="0"/>
    <x v="1"/>
    <x v="4"/>
    <x v="55"/>
    <n v="107.442047107131"/>
    <n v="7"/>
    <x v="688"/>
    <x v="688"/>
    <s v="Cash"/>
    <n v="526.46603082494403"/>
    <n v="0.3"/>
    <m/>
  </r>
  <r>
    <s v="INV1690"/>
    <x v="1"/>
    <x v="1"/>
    <n v="1715"/>
    <x v="0"/>
    <x v="1"/>
    <x v="5"/>
    <x v="35"/>
    <n v="145.047937111061"/>
    <n v="1"/>
    <x v="689"/>
    <x v="689"/>
    <s v="Credit Card"/>
    <n v="101.53355597774271"/>
    <n v="0.29999999999999993"/>
    <m/>
  </r>
  <r>
    <s v="INV1691"/>
    <x v="0"/>
    <x v="1"/>
    <n v="1430"/>
    <x v="1"/>
    <x v="0"/>
    <x v="5"/>
    <x v="79"/>
    <n v="234.28050385685199"/>
    <n v="3"/>
    <x v="690"/>
    <x v="690"/>
    <s v="Credit Card"/>
    <n v="491.98905809939004"/>
    <n v="0.29999999999999982"/>
    <m/>
  </r>
  <r>
    <s v="INV1692"/>
    <x v="1"/>
    <x v="2"/>
    <n v="1553"/>
    <x v="1"/>
    <x v="1"/>
    <x v="2"/>
    <x v="86"/>
    <n v="275.34010087260998"/>
    <n v="6"/>
    <x v="691"/>
    <x v="691"/>
    <s v="E-Wallet"/>
    <n v="1156.428423664961"/>
    <n v="0.3000000000000006"/>
    <m/>
  </r>
  <r>
    <s v="INV1693"/>
    <x v="0"/>
    <x v="1"/>
    <n v="2439"/>
    <x v="0"/>
    <x v="1"/>
    <x v="1"/>
    <x v="46"/>
    <n v="64.850339006665493"/>
    <n v="4"/>
    <x v="692"/>
    <x v="692"/>
    <s v="Cash"/>
    <n v="181.58094921866336"/>
    <n v="0.30000000000000004"/>
    <m/>
  </r>
  <r>
    <s v="INV1694"/>
    <x v="0"/>
    <x v="2"/>
    <n v="1799"/>
    <x v="0"/>
    <x v="1"/>
    <x v="2"/>
    <x v="21"/>
    <n v="277.48657055432898"/>
    <n v="7"/>
    <x v="693"/>
    <x v="693"/>
    <s v="Cash"/>
    <n v="1359.684195716208"/>
    <n v="0.30000000000000104"/>
    <m/>
  </r>
  <r>
    <s v="INV1695"/>
    <x v="1"/>
    <x v="0"/>
    <n v="1425"/>
    <x v="0"/>
    <x v="0"/>
    <x v="4"/>
    <x v="2"/>
    <n v="211.73114918267601"/>
    <n v="3"/>
    <x v="694"/>
    <x v="694"/>
    <s v="E-Wallet"/>
    <n v="444.63541328362101"/>
    <n v="0.3"/>
    <m/>
  </r>
  <r>
    <s v="INV1696"/>
    <x v="2"/>
    <x v="1"/>
    <n v="2439"/>
    <x v="0"/>
    <x v="0"/>
    <x v="1"/>
    <x v="86"/>
    <n v="187.12351189866101"/>
    <n v="1"/>
    <x v="695"/>
    <x v="695"/>
    <s v="Credit Card"/>
    <n v="130.98645832906271"/>
    <n v="0.29999999999999993"/>
    <m/>
  </r>
  <r>
    <s v="INV1697"/>
    <x v="0"/>
    <x v="0"/>
    <n v="1025"/>
    <x v="0"/>
    <x v="1"/>
    <x v="3"/>
    <x v="20"/>
    <n v="67.953968671762397"/>
    <n v="9"/>
    <x v="696"/>
    <x v="696"/>
    <s v="E-Wallet"/>
    <n v="428.110002632104"/>
    <n v="0.29999999999999899"/>
    <m/>
  </r>
  <r>
    <s v="INV1698"/>
    <x v="1"/>
    <x v="0"/>
    <n v="2394"/>
    <x v="0"/>
    <x v="0"/>
    <x v="3"/>
    <x v="34"/>
    <n v="26.1022595146536"/>
    <n v="6"/>
    <x v="697"/>
    <x v="697"/>
    <s v="Cash"/>
    <n v="109.62948996154451"/>
    <n v="0.30000000000000127"/>
    <m/>
  </r>
  <r>
    <s v="INV1699"/>
    <x v="1"/>
    <x v="1"/>
    <n v="1384"/>
    <x v="1"/>
    <x v="1"/>
    <x v="4"/>
    <x v="32"/>
    <n v="174.854820567302"/>
    <n v="8"/>
    <x v="698"/>
    <x v="698"/>
    <s v="E-Wallet"/>
    <n v="979.18699517689402"/>
    <n v="0.30000000000000004"/>
    <m/>
  </r>
  <r>
    <s v="INV1700"/>
    <x v="2"/>
    <x v="1"/>
    <n v="1055"/>
    <x v="0"/>
    <x v="1"/>
    <x v="2"/>
    <x v="50"/>
    <n v="198.939548165378"/>
    <n v="3"/>
    <x v="699"/>
    <x v="699"/>
    <s v="Cash"/>
    <n v="417.77305114729603"/>
    <n v="0.2999999999999986"/>
    <m/>
  </r>
  <r>
    <s v="INV1701"/>
    <x v="0"/>
    <x v="0"/>
    <n v="2276"/>
    <x v="1"/>
    <x v="0"/>
    <x v="0"/>
    <x v="28"/>
    <n v="71.126620312859501"/>
    <n v="8"/>
    <x v="700"/>
    <x v="700"/>
    <s v="Credit Card"/>
    <n v="398.30907375201298"/>
    <n v="0.30000000000000038"/>
    <m/>
  </r>
  <r>
    <s v="INV1702"/>
    <x v="0"/>
    <x v="1"/>
    <n v="1633"/>
    <x v="0"/>
    <x v="1"/>
    <x v="4"/>
    <x v="79"/>
    <n v="171.372299689382"/>
    <n v="2"/>
    <x v="701"/>
    <x v="701"/>
    <s v="Cash"/>
    <n v="239.921219565135"/>
    <n v="0.29999999999999943"/>
    <m/>
  </r>
  <r>
    <s v="INV1703"/>
    <x v="1"/>
    <x v="2"/>
    <n v="1105"/>
    <x v="0"/>
    <x v="0"/>
    <x v="1"/>
    <x v="73"/>
    <n v="258.38308680114602"/>
    <n v="4"/>
    <x v="702"/>
    <x v="702"/>
    <s v="Credit Card"/>
    <n v="723.47264304320493"/>
    <n v="0.30000000000000104"/>
    <m/>
  </r>
  <r>
    <s v="INV1704"/>
    <x v="1"/>
    <x v="2"/>
    <n v="2153"/>
    <x v="1"/>
    <x v="0"/>
    <x v="1"/>
    <x v="8"/>
    <n v="252.169124181955"/>
    <n v="3"/>
    <x v="703"/>
    <x v="703"/>
    <s v="Credit Card"/>
    <n v="529.55516078210701"/>
    <n v="0.29999999999999988"/>
    <m/>
  </r>
  <r>
    <s v="INV1705"/>
    <x v="2"/>
    <x v="1"/>
    <n v="1848"/>
    <x v="1"/>
    <x v="1"/>
    <x v="5"/>
    <x v="38"/>
    <n v="278.93300237002597"/>
    <n v="1"/>
    <x v="704"/>
    <x v="704"/>
    <s v="Cash"/>
    <n v="195.25310165901817"/>
    <n v="0.30000000000000004"/>
    <m/>
  </r>
  <r>
    <s v="INV1706"/>
    <x v="2"/>
    <x v="0"/>
    <n v="1669"/>
    <x v="1"/>
    <x v="0"/>
    <x v="3"/>
    <x v="33"/>
    <n v="116.106884771495"/>
    <n v="7"/>
    <x v="705"/>
    <x v="705"/>
    <s v="Cash"/>
    <n v="568.923735380327"/>
    <n v="0.29999999999999988"/>
    <m/>
  </r>
  <r>
    <s v="INV1707"/>
    <x v="0"/>
    <x v="1"/>
    <n v="1375"/>
    <x v="1"/>
    <x v="0"/>
    <x v="1"/>
    <x v="43"/>
    <n v="102.234376039766"/>
    <n v="2"/>
    <x v="706"/>
    <x v="706"/>
    <s v="Credit Card"/>
    <n v="143.1281264556722"/>
    <n v="0.30000000000000099"/>
    <m/>
  </r>
  <r>
    <s v="INV1708"/>
    <x v="0"/>
    <x v="1"/>
    <n v="1742"/>
    <x v="0"/>
    <x v="1"/>
    <x v="4"/>
    <x v="47"/>
    <n v="227.33354173443399"/>
    <n v="4"/>
    <x v="707"/>
    <x v="707"/>
    <s v="E-Wallet"/>
    <n v="636.53391685641702"/>
    <n v="0.29999999999999954"/>
    <m/>
  </r>
  <r>
    <s v="INV1709"/>
    <x v="1"/>
    <x v="0"/>
    <n v="1966"/>
    <x v="1"/>
    <x v="1"/>
    <x v="1"/>
    <x v="38"/>
    <n v="135.02259747813099"/>
    <n v="9"/>
    <x v="708"/>
    <x v="708"/>
    <s v="Cash"/>
    <n v="850.64236411222612"/>
    <n v="0.3"/>
    <m/>
  </r>
  <r>
    <s v="INV1710"/>
    <x v="0"/>
    <x v="0"/>
    <n v="1307"/>
    <x v="0"/>
    <x v="0"/>
    <x v="4"/>
    <x v="6"/>
    <n v="35.389112568056298"/>
    <n v="6"/>
    <x v="709"/>
    <x v="709"/>
    <s v="Credit Card"/>
    <n v="148.6342727858366"/>
    <n v="0.3"/>
    <m/>
  </r>
  <r>
    <s v="INV1711"/>
    <x v="2"/>
    <x v="2"/>
    <n v="1090"/>
    <x v="1"/>
    <x v="0"/>
    <x v="0"/>
    <x v="44"/>
    <n v="92.012327894444894"/>
    <n v="8"/>
    <x v="710"/>
    <x v="710"/>
    <s v="Credit Card"/>
    <n v="515.26903620889198"/>
    <n v="0.2999999999999991"/>
    <m/>
  </r>
  <r>
    <s v="INV1712"/>
    <x v="2"/>
    <x v="0"/>
    <n v="2416"/>
    <x v="0"/>
    <x v="1"/>
    <x v="5"/>
    <x v="48"/>
    <n v="131.38886280413101"/>
    <n v="2"/>
    <x v="711"/>
    <x v="711"/>
    <s v="E-Wallet"/>
    <n v="183.94440792578388"/>
    <n v="0.30000000000000082"/>
    <m/>
  </r>
  <r>
    <s v="INV1713"/>
    <x v="1"/>
    <x v="2"/>
    <n v="1801"/>
    <x v="0"/>
    <x v="0"/>
    <x v="3"/>
    <x v="79"/>
    <n v="94.829763388112994"/>
    <n v="7"/>
    <x v="712"/>
    <x v="712"/>
    <s v="Cash"/>
    <n v="464.66584060175398"/>
    <n v="0.29999999999999954"/>
    <m/>
  </r>
  <r>
    <s v="INV1714"/>
    <x v="2"/>
    <x v="0"/>
    <n v="1109"/>
    <x v="0"/>
    <x v="0"/>
    <x v="1"/>
    <x v="41"/>
    <n v="106.339615574723"/>
    <n v="6"/>
    <x v="713"/>
    <x v="713"/>
    <s v="Credit Card"/>
    <n v="446.62638541383808"/>
    <n v="0.29999999999999882"/>
    <m/>
  </r>
  <r>
    <s v="INV1715"/>
    <x v="2"/>
    <x v="1"/>
    <n v="1584"/>
    <x v="0"/>
    <x v="0"/>
    <x v="4"/>
    <x v="5"/>
    <n v="95.195012790573301"/>
    <n v="9"/>
    <x v="714"/>
    <x v="714"/>
    <s v="E-Wallet"/>
    <n v="599.72858058061206"/>
    <n v="0.2999999999999991"/>
    <m/>
  </r>
  <r>
    <s v="INV1716"/>
    <x v="2"/>
    <x v="2"/>
    <n v="1339"/>
    <x v="0"/>
    <x v="0"/>
    <x v="2"/>
    <x v="36"/>
    <n v="22.034758483093"/>
    <n v="7"/>
    <x v="715"/>
    <x v="715"/>
    <s v="Credit Card"/>
    <n v="107.97031656715569"/>
    <n v="0.3"/>
    <m/>
  </r>
  <r>
    <s v="INV1717"/>
    <x v="2"/>
    <x v="2"/>
    <n v="1978"/>
    <x v="0"/>
    <x v="0"/>
    <x v="3"/>
    <x v="77"/>
    <n v="194.757463239088"/>
    <n v="1"/>
    <x v="716"/>
    <x v="716"/>
    <s v="Cash"/>
    <n v="136.33022426736159"/>
    <n v="0.30000000000000004"/>
    <m/>
  </r>
  <r>
    <s v="INV1718"/>
    <x v="1"/>
    <x v="2"/>
    <n v="1355"/>
    <x v="1"/>
    <x v="0"/>
    <x v="0"/>
    <x v="74"/>
    <n v="183.214801902506"/>
    <n v="8"/>
    <x v="717"/>
    <x v="717"/>
    <s v="E-Wallet"/>
    <n v="1026.002890654026"/>
    <n v="0.30000000000000138"/>
    <m/>
  </r>
  <r>
    <s v="INV1719"/>
    <x v="1"/>
    <x v="1"/>
    <n v="1167"/>
    <x v="0"/>
    <x v="0"/>
    <x v="4"/>
    <x v="46"/>
    <n v="199.48121455881699"/>
    <n v="3"/>
    <x v="718"/>
    <x v="718"/>
    <s v="Credit Card"/>
    <n v="418.91055057351696"/>
    <n v="0.29999999999999905"/>
    <m/>
  </r>
  <r>
    <s v="INV1720"/>
    <x v="0"/>
    <x v="1"/>
    <n v="1556"/>
    <x v="1"/>
    <x v="1"/>
    <x v="5"/>
    <x v="35"/>
    <n v="65.769869849751899"/>
    <n v="2"/>
    <x v="719"/>
    <x v="719"/>
    <s v="E-Wallet"/>
    <n v="92.077817789651903"/>
    <n v="0.30000000000000149"/>
    <m/>
  </r>
  <r>
    <s v="INV1721"/>
    <x v="2"/>
    <x v="1"/>
    <n v="2475"/>
    <x v="1"/>
    <x v="1"/>
    <x v="5"/>
    <x v="73"/>
    <n v="95.739817067620706"/>
    <n v="3"/>
    <x v="720"/>
    <x v="720"/>
    <s v="Cash"/>
    <n v="201.05361584200341"/>
    <n v="0.29999999999999993"/>
    <m/>
  </r>
  <r>
    <s v="INV1722"/>
    <x v="0"/>
    <x v="1"/>
    <n v="1904"/>
    <x v="0"/>
    <x v="1"/>
    <x v="0"/>
    <x v="33"/>
    <n v="189.688618814027"/>
    <n v="6"/>
    <x v="721"/>
    <x v="721"/>
    <s v="E-Wallet"/>
    <n v="796.69219901891097"/>
    <n v="0.30000000000000088"/>
    <m/>
  </r>
  <r>
    <s v="INV1723"/>
    <x v="1"/>
    <x v="1"/>
    <n v="1104"/>
    <x v="1"/>
    <x v="1"/>
    <x v="0"/>
    <x v="27"/>
    <n v="183.89199485337701"/>
    <n v="3"/>
    <x v="722"/>
    <x v="722"/>
    <s v="Cash"/>
    <n v="386.17318919209208"/>
    <n v="0.29999999999999938"/>
    <m/>
  </r>
  <r>
    <s v="INV1724"/>
    <x v="1"/>
    <x v="2"/>
    <n v="1149"/>
    <x v="0"/>
    <x v="1"/>
    <x v="5"/>
    <x v="76"/>
    <n v="156.83578971273701"/>
    <n v="5"/>
    <x v="723"/>
    <x v="723"/>
    <s v="Credit Card"/>
    <n v="548.925263994582"/>
    <n v="0.29999999999999949"/>
    <m/>
  </r>
  <r>
    <s v="INV1725"/>
    <x v="1"/>
    <x v="1"/>
    <n v="1145"/>
    <x v="1"/>
    <x v="0"/>
    <x v="1"/>
    <x v="2"/>
    <n v="111.619842502957"/>
    <n v="6"/>
    <x v="724"/>
    <x v="724"/>
    <s v="Cash"/>
    <n v="468.80333851242005"/>
    <n v="0.3000000000000001"/>
    <m/>
  </r>
  <r>
    <s v="INV1726"/>
    <x v="1"/>
    <x v="2"/>
    <n v="1715"/>
    <x v="0"/>
    <x v="0"/>
    <x v="1"/>
    <x v="68"/>
    <n v="274.74999138466001"/>
    <n v="8"/>
    <x v="725"/>
    <x v="725"/>
    <s v="Credit Card"/>
    <n v="1538.5999517540961"/>
    <n v="0.3"/>
    <m/>
  </r>
  <r>
    <s v="INV1727"/>
    <x v="1"/>
    <x v="1"/>
    <n v="1873"/>
    <x v="1"/>
    <x v="0"/>
    <x v="4"/>
    <x v="54"/>
    <n v="108.53337026666399"/>
    <n v="7"/>
    <x v="726"/>
    <x v="726"/>
    <s v="Credit Card"/>
    <n v="531.813514306657"/>
    <n v="0.29999999999999921"/>
    <m/>
  </r>
  <r>
    <s v="INV1728"/>
    <x v="1"/>
    <x v="0"/>
    <n v="1298"/>
    <x v="0"/>
    <x v="0"/>
    <x v="2"/>
    <x v="12"/>
    <n v="142.12955536680201"/>
    <n v="8"/>
    <x v="727"/>
    <x v="727"/>
    <s v="Cash"/>
    <n v="795.92551005409291"/>
    <n v="0.30000000000000093"/>
    <m/>
  </r>
  <r>
    <s v="INV1729"/>
    <x v="1"/>
    <x v="2"/>
    <n v="2190"/>
    <x v="0"/>
    <x v="1"/>
    <x v="4"/>
    <x v="37"/>
    <n v="206.65301097672"/>
    <n v="3"/>
    <x v="728"/>
    <x v="728"/>
    <s v="Credit Card"/>
    <n v="433.97132305111302"/>
    <n v="0.29999999999999949"/>
    <m/>
  </r>
  <r>
    <s v="INV1730"/>
    <x v="2"/>
    <x v="0"/>
    <n v="1645"/>
    <x v="0"/>
    <x v="0"/>
    <x v="2"/>
    <x v="13"/>
    <n v="167.47621495136099"/>
    <n v="4"/>
    <x v="729"/>
    <x v="729"/>
    <s v="E-Wallet"/>
    <n v="468.933401863813"/>
    <n v="0.29999999999999877"/>
    <m/>
  </r>
  <r>
    <s v="INV1731"/>
    <x v="0"/>
    <x v="2"/>
    <n v="1722"/>
    <x v="0"/>
    <x v="0"/>
    <x v="0"/>
    <x v="16"/>
    <n v="110.596933145671"/>
    <n v="6"/>
    <x v="730"/>
    <x v="730"/>
    <s v="Credit Card"/>
    <n v="464.50711921182096"/>
    <n v="0.30000000000000004"/>
    <m/>
  </r>
  <r>
    <s v="INV1732"/>
    <x v="1"/>
    <x v="0"/>
    <n v="2071"/>
    <x v="1"/>
    <x v="1"/>
    <x v="3"/>
    <x v="44"/>
    <n v="136.336989232387"/>
    <n v="7"/>
    <x v="731"/>
    <x v="731"/>
    <s v="Cash"/>
    <n v="668.05124723870097"/>
    <n v="0.29999999999999949"/>
    <m/>
  </r>
  <r>
    <s v="INV1733"/>
    <x v="2"/>
    <x v="1"/>
    <n v="1637"/>
    <x v="0"/>
    <x v="0"/>
    <x v="4"/>
    <x v="1"/>
    <n v="240.39943717751601"/>
    <n v="9"/>
    <x v="732"/>
    <x v="732"/>
    <s v="E-Wallet"/>
    <n v="1514.5164542183552"/>
    <n v="0.29999999999999993"/>
    <m/>
  </r>
  <r>
    <s v="INV1734"/>
    <x v="2"/>
    <x v="1"/>
    <n v="1238"/>
    <x v="1"/>
    <x v="0"/>
    <x v="4"/>
    <x v="83"/>
    <n v="90.657455091117598"/>
    <n v="1"/>
    <x v="733"/>
    <x v="733"/>
    <s v="E-Wallet"/>
    <n v="63.460218563782398"/>
    <n v="0.2999999999999991"/>
    <m/>
  </r>
  <r>
    <s v="INV1735"/>
    <x v="0"/>
    <x v="1"/>
    <n v="2030"/>
    <x v="1"/>
    <x v="1"/>
    <x v="2"/>
    <x v="84"/>
    <n v="51.254019535276399"/>
    <n v="8"/>
    <x v="734"/>
    <x v="734"/>
    <s v="Credit Card"/>
    <n v="287.02250939754799"/>
    <n v="0.29999999999999932"/>
    <m/>
  </r>
  <r>
    <s v="INV1736"/>
    <x v="1"/>
    <x v="2"/>
    <n v="1463"/>
    <x v="1"/>
    <x v="0"/>
    <x v="0"/>
    <x v="15"/>
    <n v="100.817328530635"/>
    <n v="8"/>
    <x v="735"/>
    <x v="735"/>
    <s v="Credit Card"/>
    <n v="564.57703977155802"/>
    <n v="0.29999999999999921"/>
    <m/>
  </r>
  <r>
    <s v="INV1737"/>
    <x v="0"/>
    <x v="0"/>
    <n v="1452"/>
    <x v="0"/>
    <x v="0"/>
    <x v="0"/>
    <x v="77"/>
    <n v="256.36492249149097"/>
    <n v="6"/>
    <x v="736"/>
    <x v="736"/>
    <s v="Cash"/>
    <n v="1076.732674464256"/>
    <n v="0.30000000000000132"/>
    <m/>
  </r>
  <r>
    <s v="INV1738"/>
    <x v="1"/>
    <x v="1"/>
    <n v="1783"/>
    <x v="1"/>
    <x v="0"/>
    <x v="2"/>
    <x v="8"/>
    <n v="35.807017308340498"/>
    <n v="4"/>
    <x v="737"/>
    <x v="737"/>
    <s v="E-Wallet"/>
    <n v="100.25964846335339"/>
    <n v="0.30000000000000004"/>
    <m/>
  </r>
  <r>
    <s v="INV1739"/>
    <x v="2"/>
    <x v="0"/>
    <n v="1896"/>
    <x v="1"/>
    <x v="0"/>
    <x v="0"/>
    <x v="51"/>
    <n v="297.59186127801098"/>
    <n v="3"/>
    <x v="738"/>
    <x v="738"/>
    <s v="Cash"/>
    <n v="624.94290868382404"/>
    <n v="0.29999999999999893"/>
    <m/>
  </r>
  <r>
    <s v="INV1740"/>
    <x v="2"/>
    <x v="0"/>
    <n v="1370"/>
    <x v="1"/>
    <x v="0"/>
    <x v="5"/>
    <x v="88"/>
    <n v="166.89084068902201"/>
    <n v="3"/>
    <x v="739"/>
    <x v="739"/>
    <s v="Credit Card"/>
    <n v="350.47076544694698"/>
    <n v="0.29999999999999843"/>
    <m/>
  </r>
  <r>
    <s v="INV1741"/>
    <x v="2"/>
    <x v="1"/>
    <n v="1486"/>
    <x v="0"/>
    <x v="1"/>
    <x v="1"/>
    <x v="40"/>
    <n v="295.60526575045702"/>
    <n v="6"/>
    <x v="740"/>
    <x v="740"/>
    <s v="E-Wallet"/>
    <n v="1241.5421161519171"/>
    <n v="0.30000000000000049"/>
    <m/>
  </r>
  <r>
    <s v="INV1742"/>
    <x v="2"/>
    <x v="1"/>
    <n v="2234"/>
    <x v="0"/>
    <x v="1"/>
    <x v="5"/>
    <x v="49"/>
    <n v="282.30896240493303"/>
    <n v="8"/>
    <x v="741"/>
    <x v="741"/>
    <s v="Cash"/>
    <n v="1580.93018946762"/>
    <n v="0.30000000000000093"/>
    <m/>
  </r>
  <r>
    <s v="INV1743"/>
    <x v="0"/>
    <x v="0"/>
    <n v="1164"/>
    <x v="1"/>
    <x v="1"/>
    <x v="3"/>
    <x v="68"/>
    <n v="141.31597712116499"/>
    <n v="7"/>
    <x v="742"/>
    <x v="742"/>
    <s v="Cash"/>
    <n v="692.44828789371309"/>
    <n v="0.29999999999999966"/>
    <m/>
  </r>
  <r>
    <s v="INV1744"/>
    <x v="1"/>
    <x v="1"/>
    <n v="2148"/>
    <x v="0"/>
    <x v="1"/>
    <x v="4"/>
    <x v="69"/>
    <n v="67.5624116355512"/>
    <n v="1"/>
    <x v="743"/>
    <x v="743"/>
    <s v="Cash"/>
    <n v="47.293688144885898"/>
    <n v="0.29999999999999916"/>
    <m/>
  </r>
  <r>
    <s v="INV1745"/>
    <x v="1"/>
    <x v="1"/>
    <n v="2360"/>
    <x v="0"/>
    <x v="1"/>
    <x v="3"/>
    <x v="52"/>
    <n v="57.816585203890099"/>
    <n v="6"/>
    <x v="744"/>
    <x v="744"/>
    <s v="Cash"/>
    <n v="242.82965785633803"/>
    <n v="0.3"/>
    <m/>
  </r>
  <r>
    <s v="INV1746"/>
    <x v="0"/>
    <x v="1"/>
    <n v="1191"/>
    <x v="1"/>
    <x v="1"/>
    <x v="4"/>
    <x v="17"/>
    <n v="79.596915522287603"/>
    <n v="7"/>
    <x v="745"/>
    <x v="745"/>
    <s v="Cash"/>
    <n v="390.02488605920894"/>
    <n v="0.30000000000000021"/>
    <m/>
  </r>
  <r>
    <s v="INV1747"/>
    <x v="1"/>
    <x v="2"/>
    <n v="1729"/>
    <x v="1"/>
    <x v="0"/>
    <x v="1"/>
    <x v="14"/>
    <n v="215.93846576371499"/>
    <n v="7"/>
    <x v="746"/>
    <x v="746"/>
    <s v="E-Wallet"/>
    <n v="1058.098482242207"/>
    <n v="0.3"/>
    <m/>
  </r>
  <r>
    <s v="INV1748"/>
    <x v="2"/>
    <x v="0"/>
    <n v="1213"/>
    <x v="0"/>
    <x v="1"/>
    <x v="0"/>
    <x v="84"/>
    <n v="89.155498472131399"/>
    <n v="9"/>
    <x v="747"/>
    <x v="747"/>
    <s v="Cash"/>
    <n v="561.67964037442903"/>
    <n v="0.29999999999999888"/>
    <m/>
  </r>
  <r>
    <s v="INV1749"/>
    <x v="1"/>
    <x v="0"/>
    <n v="1573"/>
    <x v="1"/>
    <x v="1"/>
    <x v="5"/>
    <x v="41"/>
    <n v="109.013328185246"/>
    <n v="5"/>
    <x v="748"/>
    <x v="748"/>
    <s v="E-Wallet"/>
    <n v="381.54664864836303"/>
    <n v="0.29999999999999888"/>
    <m/>
  </r>
  <r>
    <s v="INV1750"/>
    <x v="2"/>
    <x v="2"/>
    <n v="2351"/>
    <x v="0"/>
    <x v="0"/>
    <x v="2"/>
    <x v="58"/>
    <n v="140.145853158438"/>
    <n v="1"/>
    <x v="749"/>
    <x v="749"/>
    <s v="Cash"/>
    <n v="98.102097210906607"/>
    <n v="0.29999999999999993"/>
    <m/>
  </r>
  <r>
    <s v="INV1751"/>
    <x v="0"/>
    <x v="0"/>
    <n v="1956"/>
    <x v="0"/>
    <x v="0"/>
    <x v="5"/>
    <x v="12"/>
    <n v="274.83747732222201"/>
    <n v="2"/>
    <x v="750"/>
    <x v="750"/>
    <s v="Credit Card"/>
    <n v="384.77246825111104"/>
    <n v="0.2999999999999996"/>
    <m/>
  </r>
  <r>
    <s v="INV1752"/>
    <x v="1"/>
    <x v="1"/>
    <n v="1380"/>
    <x v="0"/>
    <x v="1"/>
    <x v="1"/>
    <x v="15"/>
    <n v="64.924091186605295"/>
    <n v="4"/>
    <x v="751"/>
    <x v="751"/>
    <s v="Credit Card"/>
    <n v="181.78745532249462"/>
    <n v="0.30000000000000032"/>
    <m/>
  </r>
  <r>
    <s v="INV1753"/>
    <x v="0"/>
    <x v="0"/>
    <n v="1672"/>
    <x v="0"/>
    <x v="0"/>
    <x v="3"/>
    <x v="41"/>
    <n v="11.4577002568429"/>
    <n v="5"/>
    <x v="752"/>
    <x v="752"/>
    <s v="Cash"/>
    <n v="40.101950898950193"/>
    <n v="0.29999999999999921"/>
    <m/>
  </r>
  <r>
    <s v="INV1754"/>
    <x v="1"/>
    <x v="1"/>
    <n v="1797"/>
    <x v="0"/>
    <x v="1"/>
    <x v="2"/>
    <x v="86"/>
    <n v="27.427959009669301"/>
    <n v="9"/>
    <x v="753"/>
    <x v="753"/>
    <s v="Credit Card"/>
    <n v="172.79614176091678"/>
    <n v="0.3000000000000001"/>
    <m/>
  </r>
  <r>
    <s v="INV1755"/>
    <x v="2"/>
    <x v="2"/>
    <n v="1238"/>
    <x v="0"/>
    <x v="0"/>
    <x v="0"/>
    <x v="49"/>
    <n v="272.38223908723398"/>
    <n v="1"/>
    <x v="754"/>
    <x v="754"/>
    <s v="E-Wallet"/>
    <n v="190.66756736106379"/>
    <n v="0.3"/>
    <m/>
  </r>
  <r>
    <s v="INV1756"/>
    <x v="0"/>
    <x v="1"/>
    <n v="1699"/>
    <x v="1"/>
    <x v="1"/>
    <x v="1"/>
    <x v="46"/>
    <n v="197.779774804575"/>
    <n v="3"/>
    <x v="755"/>
    <x v="755"/>
    <s v="Cash"/>
    <n v="415.33752708960901"/>
    <n v="0.2999999999999986"/>
    <m/>
  </r>
  <r>
    <s v="INV1757"/>
    <x v="1"/>
    <x v="0"/>
    <n v="2105"/>
    <x v="1"/>
    <x v="0"/>
    <x v="2"/>
    <x v="75"/>
    <n v="89.181779605063895"/>
    <n v="5"/>
    <x v="756"/>
    <x v="756"/>
    <s v="E-Wallet"/>
    <n v="312.13622861772399"/>
    <n v="0.29999999999999843"/>
    <m/>
  </r>
  <r>
    <s v="INV1758"/>
    <x v="2"/>
    <x v="0"/>
    <n v="2386"/>
    <x v="0"/>
    <x v="0"/>
    <x v="1"/>
    <x v="63"/>
    <n v="61.385825293245396"/>
    <n v="3"/>
    <x v="757"/>
    <x v="757"/>
    <s v="Cash"/>
    <n v="128.9102331158152"/>
    <n v="0.30000000000000004"/>
    <m/>
  </r>
  <r>
    <s v="INV1759"/>
    <x v="0"/>
    <x v="0"/>
    <n v="1504"/>
    <x v="0"/>
    <x v="1"/>
    <x v="1"/>
    <x v="67"/>
    <n v="95.337353624763097"/>
    <n v="4"/>
    <x v="758"/>
    <x v="758"/>
    <s v="Credit Card"/>
    <n v="266.94459014933699"/>
    <n v="0.29999999999999843"/>
    <m/>
  </r>
  <r>
    <s v="INV1760"/>
    <x v="0"/>
    <x v="2"/>
    <n v="1201"/>
    <x v="0"/>
    <x v="1"/>
    <x v="0"/>
    <x v="78"/>
    <n v="43.291108902871201"/>
    <n v="3"/>
    <x v="759"/>
    <x v="759"/>
    <s v="E-Wallet"/>
    <n v="90.911328696028903"/>
    <n v="0.30000000000000154"/>
    <m/>
  </r>
  <r>
    <s v="INV1761"/>
    <x v="1"/>
    <x v="2"/>
    <n v="1919"/>
    <x v="1"/>
    <x v="1"/>
    <x v="4"/>
    <x v="21"/>
    <n v="283.04454398248703"/>
    <n v="4"/>
    <x v="760"/>
    <x v="760"/>
    <s v="Credit Card"/>
    <n v="792.52472315096497"/>
    <n v="0.3"/>
    <m/>
  </r>
  <r>
    <s v="INV1762"/>
    <x v="1"/>
    <x v="0"/>
    <n v="1036"/>
    <x v="0"/>
    <x v="1"/>
    <x v="2"/>
    <x v="20"/>
    <n v="237.419790565927"/>
    <n v="1"/>
    <x v="761"/>
    <x v="761"/>
    <s v="Credit Card"/>
    <n v="166.1938533961488"/>
    <n v="0.30000000000000043"/>
    <m/>
  </r>
  <r>
    <s v="INV1763"/>
    <x v="1"/>
    <x v="1"/>
    <n v="1643"/>
    <x v="1"/>
    <x v="1"/>
    <x v="0"/>
    <x v="41"/>
    <n v="144.093441304636"/>
    <n v="8"/>
    <x v="762"/>
    <x v="762"/>
    <s v="Cash"/>
    <n v="806.92327130596209"/>
    <n v="0.30000000000000082"/>
    <m/>
  </r>
  <r>
    <s v="INV1764"/>
    <x v="2"/>
    <x v="2"/>
    <n v="2425"/>
    <x v="0"/>
    <x v="0"/>
    <x v="1"/>
    <x v="31"/>
    <n v="260.83915548340798"/>
    <n v="4"/>
    <x v="763"/>
    <x v="763"/>
    <s v="E-Wallet"/>
    <n v="730.34963535354018"/>
    <n v="0.30000000000000088"/>
    <m/>
  </r>
  <r>
    <s v="INV1765"/>
    <x v="1"/>
    <x v="0"/>
    <n v="1764"/>
    <x v="0"/>
    <x v="1"/>
    <x v="0"/>
    <x v="17"/>
    <n v="82.342879245037295"/>
    <n v="7"/>
    <x v="764"/>
    <x v="764"/>
    <s v="Credit Card"/>
    <n v="403.48010830068301"/>
    <n v="0.29999999999999949"/>
    <m/>
  </r>
  <r>
    <s v="INV1766"/>
    <x v="0"/>
    <x v="0"/>
    <n v="1705"/>
    <x v="1"/>
    <x v="1"/>
    <x v="4"/>
    <x v="37"/>
    <n v="217.96496485693601"/>
    <n v="2"/>
    <x v="765"/>
    <x v="765"/>
    <s v="Cash"/>
    <n v="305.15095079971104"/>
    <n v="0.29999999999999855"/>
    <m/>
  </r>
  <r>
    <s v="INV1767"/>
    <x v="0"/>
    <x v="2"/>
    <n v="2199"/>
    <x v="1"/>
    <x v="0"/>
    <x v="5"/>
    <x v="47"/>
    <n v="258.27842471398498"/>
    <n v="2"/>
    <x v="766"/>
    <x v="766"/>
    <s v="Cash"/>
    <n v="361.58979459957993"/>
    <n v="0.29999999999999949"/>
    <m/>
  </r>
  <r>
    <s v="INV1768"/>
    <x v="1"/>
    <x v="2"/>
    <n v="1544"/>
    <x v="0"/>
    <x v="0"/>
    <x v="2"/>
    <x v="63"/>
    <n v="113.462926370749"/>
    <n v="6"/>
    <x v="767"/>
    <x v="767"/>
    <s v="Cash"/>
    <n v="476.54429075714597"/>
    <n v="0.29999999999999971"/>
    <m/>
  </r>
  <r>
    <s v="INV1769"/>
    <x v="1"/>
    <x v="2"/>
    <n v="2490"/>
    <x v="0"/>
    <x v="1"/>
    <x v="4"/>
    <x v="6"/>
    <n v="229.664689180708"/>
    <n v="2"/>
    <x v="768"/>
    <x v="768"/>
    <s v="Credit Card"/>
    <n v="321.53056485299203"/>
    <n v="0.29999999999999816"/>
    <m/>
  </r>
  <r>
    <s v="INV1770"/>
    <x v="0"/>
    <x v="1"/>
    <n v="2224"/>
    <x v="0"/>
    <x v="0"/>
    <x v="3"/>
    <x v="83"/>
    <n v="95.570981286649697"/>
    <n v="6"/>
    <x v="769"/>
    <x v="769"/>
    <s v="Cash"/>
    <n v="401.39812140392905"/>
    <n v="0.29999999999999921"/>
    <m/>
  </r>
  <r>
    <s v="INV1771"/>
    <x v="2"/>
    <x v="1"/>
    <n v="1539"/>
    <x v="1"/>
    <x v="0"/>
    <x v="2"/>
    <x v="46"/>
    <n v="96.668569225118901"/>
    <n v="2"/>
    <x v="770"/>
    <x v="770"/>
    <s v="E-Wallet"/>
    <n v="135.33599691516571"/>
    <n v="0.30000000000000099"/>
    <m/>
  </r>
  <r>
    <s v="INV1772"/>
    <x v="1"/>
    <x v="0"/>
    <n v="2016"/>
    <x v="1"/>
    <x v="1"/>
    <x v="4"/>
    <x v="89"/>
    <n v="41.0465817807139"/>
    <n v="4"/>
    <x v="771"/>
    <x v="771"/>
    <s v="E-Wallet"/>
    <n v="114.9304289859983"/>
    <n v="0.30000000000000121"/>
    <m/>
  </r>
  <r>
    <s v="INV1773"/>
    <x v="1"/>
    <x v="2"/>
    <n v="1393"/>
    <x v="1"/>
    <x v="0"/>
    <x v="1"/>
    <x v="48"/>
    <n v="137.61683348772499"/>
    <n v="7"/>
    <x v="772"/>
    <x v="772"/>
    <s v="Credit Card"/>
    <n v="674.32248408985606"/>
    <n v="0.29999999999999921"/>
    <m/>
  </r>
  <r>
    <s v="INV1774"/>
    <x v="0"/>
    <x v="1"/>
    <n v="1832"/>
    <x v="1"/>
    <x v="0"/>
    <x v="2"/>
    <x v="73"/>
    <n v="221.616452884252"/>
    <n v="8"/>
    <x v="773"/>
    <x v="773"/>
    <s v="E-Wallet"/>
    <n v="1241.0521361518049"/>
    <n v="0.30000000000000121"/>
    <m/>
  </r>
  <r>
    <s v="INV1775"/>
    <x v="1"/>
    <x v="2"/>
    <n v="2065"/>
    <x v="1"/>
    <x v="1"/>
    <x v="2"/>
    <x v="50"/>
    <n v="282.664033615672"/>
    <n v="3"/>
    <x v="774"/>
    <x v="774"/>
    <s v="Cash"/>
    <n v="593.59447059291199"/>
    <n v="0.29999999999999993"/>
    <m/>
  </r>
  <r>
    <s v="INV1776"/>
    <x v="2"/>
    <x v="0"/>
    <n v="1596"/>
    <x v="1"/>
    <x v="1"/>
    <x v="0"/>
    <x v="86"/>
    <n v="185.101127659437"/>
    <n v="9"/>
    <x v="775"/>
    <x v="775"/>
    <s v="Credit Card"/>
    <n v="1166.1371042544581"/>
    <n v="0.29999999999999993"/>
    <m/>
  </r>
  <r>
    <s v="INV1777"/>
    <x v="0"/>
    <x v="1"/>
    <n v="1392"/>
    <x v="0"/>
    <x v="0"/>
    <x v="1"/>
    <x v="45"/>
    <n v="260.309305943364"/>
    <n v="2"/>
    <x v="776"/>
    <x v="776"/>
    <s v="Cash"/>
    <n v="364.43302832070998"/>
    <n v="0.29999999999999927"/>
    <m/>
  </r>
  <r>
    <s v="INV1778"/>
    <x v="1"/>
    <x v="1"/>
    <n v="1699"/>
    <x v="0"/>
    <x v="0"/>
    <x v="3"/>
    <x v="7"/>
    <n v="248.52344829416501"/>
    <n v="8"/>
    <x v="777"/>
    <x v="777"/>
    <s v="Credit Card"/>
    <n v="1391.7313104473219"/>
    <n v="0.3000000000000011"/>
    <m/>
  </r>
  <r>
    <s v="INV1779"/>
    <x v="0"/>
    <x v="1"/>
    <n v="1440"/>
    <x v="1"/>
    <x v="1"/>
    <x v="5"/>
    <x v="28"/>
    <n v="60.269485362831396"/>
    <n v="8"/>
    <x v="778"/>
    <x v="778"/>
    <s v="Credit Card"/>
    <n v="337.50911803185602"/>
    <n v="0.29999999999999932"/>
    <m/>
  </r>
  <r>
    <s v="INV1780"/>
    <x v="1"/>
    <x v="0"/>
    <n v="1917"/>
    <x v="0"/>
    <x v="0"/>
    <x v="4"/>
    <x v="16"/>
    <n v="150.887054384663"/>
    <n v="4"/>
    <x v="779"/>
    <x v="779"/>
    <s v="Cash"/>
    <n v="422.48375227705702"/>
    <n v="0.29999999999999899"/>
    <m/>
  </r>
  <r>
    <s v="INV1781"/>
    <x v="1"/>
    <x v="2"/>
    <n v="1319"/>
    <x v="0"/>
    <x v="0"/>
    <x v="0"/>
    <x v="8"/>
    <n v="43.907825302363499"/>
    <n v="1"/>
    <x v="780"/>
    <x v="780"/>
    <s v="E-Wallet"/>
    <n v="30.735477711654497"/>
    <n v="0.29999999999999893"/>
    <m/>
  </r>
  <r>
    <s v="INV1782"/>
    <x v="1"/>
    <x v="1"/>
    <n v="1552"/>
    <x v="1"/>
    <x v="0"/>
    <x v="4"/>
    <x v="61"/>
    <n v="207.82441685287401"/>
    <n v="1"/>
    <x v="781"/>
    <x v="781"/>
    <s v="E-Wallet"/>
    <n v="145.47709179701181"/>
    <n v="0.3"/>
    <m/>
  </r>
  <r>
    <s v="INV1783"/>
    <x v="2"/>
    <x v="0"/>
    <n v="2238"/>
    <x v="0"/>
    <x v="1"/>
    <x v="3"/>
    <x v="71"/>
    <n v="285.47090379136199"/>
    <n v="2"/>
    <x v="782"/>
    <x v="782"/>
    <s v="Credit Card"/>
    <n v="399.65926530790699"/>
    <n v="0.29999999999999966"/>
    <m/>
  </r>
  <r>
    <s v="INV1784"/>
    <x v="2"/>
    <x v="2"/>
    <n v="2094"/>
    <x v="1"/>
    <x v="0"/>
    <x v="3"/>
    <x v="25"/>
    <n v="49.755942842839303"/>
    <n v="9"/>
    <x v="783"/>
    <x v="783"/>
    <s v="Cash"/>
    <n v="313.46243990988796"/>
    <n v="0.2999999999999996"/>
    <m/>
  </r>
  <r>
    <s v="INV1785"/>
    <x v="0"/>
    <x v="0"/>
    <n v="1567"/>
    <x v="1"/>
    <x v="0"/>
    <x v="2"/>
    <x v="87"/>
    <n v="222.82610793273699"/>
    <n v="2"/>
    <x v="784"/>
    <x v="784"/>
    <s v="Cash"/>
    <n v="311.95655110583198"/>
    <n v="0.29999999999999954"/>
    <m/>
  </r>
  <r>
    <s v="INV1786"/>
    <x v="1"/>
    <x v="2"/>
    <n v="1918"/>
    <x v="0"/>
    <x v="1"/>
    <x v="3"/>
    <x v="76"/>
    <n v="193.34906375167901"/>
    <n v="2"/>
    <x v="785"/>
    <x v="785"/>
    <s v="Credit Card"/>
    <n v="270.68868925235199"/>
    <n v="0.29999999999999821"/>
    <m/>
  </r>
  <r>
    <s v="INV1787"/>
    <x v="1"/>
    <x v="0"/>
    <n v="1235"/>
    <x v="1"/>
    <x v="0"/>
    <x v="4"/>
    <x v="29"/>
    <n v="179.24546073234799"/>
    <n v="6"/>
    <x v="786"/>
    <x v="786"/>
    <s v="E-Wallet"/>
    <n v="752.83093507586204"/>
    <n v="0.30000000000000093"/>
    <m/>
  </r>
  <r>
    <s v="INV1788"/>
    <x v="2"/>
    <x v="2"/>
    <n v="2304"/>
    <x v="1"/>
    <x v="0"/>
    <x v="1"/>
    <x v="51"/>
    <n v="123.134868059618"/>
    <n v="7"/>
    <x v="787"/>
    <x v="787"/>
    <s v="Cash"/>
    <n v="603.36085349212999"/>
    <n v="0.29999999999999954"/>
    <m/>
  </r>
  <r>
    <s v="INV1789"/>
    <x v="1"/>
    <x v="1"/>
    <n v="1986"/>
    <x v="1"/>
    <x v="1"/>
    <x v="1"/>
    <x v="31"/>
    <n v="112.98817784860501"/>
    <n v="7"/>
    <x v="788"/>
    <x v="788"/>
    <s v="E-Wallet"/>
    <n v="553.64207145816795"/>
    <n v="0.29999999999999921"/>
    <m/>
  </r>
  <r>
    <s v="INV1790"/>
    <x v="2"/>
    <x v="2"/>
    <n v="2185"/>
    <x v="1"/>
    <x v="1"/>
    <x v="2"/>
    <x v="42"/>
    <n v="23.122264815477401"/>
    <n v="9"/>
    <x v="789"/>
    <x v="789"/>
    <s v="E-Wallet"/>
    <n v="145.67026833750791"/>
    <n v="0.29999999999999993"/>
    <m/>
  </r>
  <r>
    <s v="INV1791"/>
    <x v="1"/>
    <x v="0"/>
    <n v="2214"/>
    <x v="1"/>
    <x v="1"/>
    <x v="5"/>
    <x v="38"/>
    <n v="73.193525393083902"/>
    <n v="6"/>
    <x v="790"/>
    <x v="790"/>
    <s v="Credit Card"/>
    <n v="307.41280665095201"/>
    <n v="0.30000000000000021"/>
    <m/>
  </r>
  <r>
    <s v="INV1792"/>
    <x v="0"/>
    <x v="0"/>
    <n v="2032"/>
    <x v="1"/>
    <x v="1"/>
    <x v="4"/>
    <x v="54"/>
    <n v="14.401295863179801"/>
    <n v="8"/>
    <x v="791"/>
    <x v="791"/>
    <s v="Credit Card"/>
    <n v="80.647256833806495"/>
    <n v="0.30000000000000088"/>
    <m/>
  </r>
  <r>
    <s v="INV1793"/>
    <x v="1"/>
    <x v="2"/>
    <n v="1059"/>
    <x v="1"/>
    <x v="0"/>
    <x v="4"/>
    <x v="33"/>
    <n v="178.61096061878499"/>
    <n v="6"/>
    <x v="792"/>
    <x v="792"/>
    <s v="E-Wallet"/>
    <n v="750.16603459889598"/>
    <n v="0.30000000000000099"/>
    <m/>
  </r>
  <r>
    <s v="INV1794"/>
    <x v="1"/>
    <x v="1"/>
    <n v="1892"/>
    <x v="1"/>
    <x v="0"/>
    <x v="3"/>
    <x v="23"/>
    <n v="40.697438404593498"/>
    <n v="2"/>
    <x v="793"/>
    <x v="793"/>
    <s v="Cash"/>
    <n v="56.976413766430994"/>
    <n v="0.29999999999999966"/>
    <m/>
  </r>
  <r>
    <s v="INV1795"/>
    <x v="2"/>
    <x v="1"/>
    <n v="1224"/>
    <x v="0"/>
    <x v="1"/>
    <x v="4"/>
    <x v="68"/>
    <n v="263.17562426861701"/>
    <n v="1"/>
    <x v="794"/>
    <x v="794"/>
    <s v="Cash"/>
    <n v="184.22293698803173"/>
    <n v="0.30000000000000066"/>
    <m/>
  </r>
  <r>
    <s v="INV1796"/>
    <x v="1"/>
    <x v="2"/>
    <n v="1699"/>
    <x v="0"/>
    <x v="1"/>
    <x v="0"/>
    <x v="64"/>
    <n v="161.71147600217699"/>
    <n v="5"/>
    <x v="795"/>
    <x v="795"/>
    <s v="Credit Card"/>
    <n v="565.99016600762297"/>
    <n v="0.29999999999999916"/>
    <m/>
  </r>
  <r>
    <s v="INV1797"/>
    <x v="1"/>
    <x v="2"/>
    <n v="1581"/>
    <x v="0"/>
    <x v="0"/>
    <x v="5"/>
    <x v="36"/>
    <n v="212.91007362702501"/>
    <n v="9"/>
    <x v="796"/>
    <x v="796"/>
    <s v="E-Wallet"/>
    <n v="1341.333463850252"/>
    <n v="0.3000000000000011"/>
    <m/>
  </r>
  <r>
    <s v="INV1798"/>
    <x v="2"/>
    <x v="0"/>
    <n v="2310"/>
    <x v="1"/>
    <x v="1"/>
    <x v="3"/>
    <x v="74"/>
    <n v="129.148556633743"/>
    <n v="8"/>
    <x v="797"/>
    <x v="797"/>
    <s v="Cash"/>
    <n v="723.23191714896484"/>
    <n v="0.3000000000000001"/>
    <m/>
  </r>
  <r>
    <s v="INV1799"/>
    <x v="0"/>
    <x v="1"/>
    <n v="1993"/>
    <x v="1"/>
    <x v="0"/>
    <x v="0"/>
    <x v="89"/>
    <n v="172.56814461030399"/>
    <n v="4"/>
    <x v="798"/>
    <x v="798"/>
    <s v="Cash"/>
    <n v="483.19080490885199"/>
    <n v="0.29999999999999882"/>
    <m/>
  </r>
  <r>
    <s v="INV1800"/>
    <x v="0"/>
    <x v="2"/>
    <n v="1168"/>
    <x v="0"/>
    <x v="1"/>
    <x v="2"/>
    <x v="39"/>
    <n v="283.37116132032202"/>
    <n v="5"/>
    <x v="799"/>
    <x v="799"/>
    <s v="Credit Card"/>
    <n v="991.79906462112604"/>
    <n v="0.30000000000000071"/>
    <m/>
  </r>
  <r>
    <s v="INV1801"/>
    <x v="2"/>
    <x v="1"/>
    <n v="2085"/>
    <x v="0"/>
    <x v="0"/>
    <x v="1"/>
    <x v="5"/>
    <n v="33.992871490864502"/>
    <n v="5"/>
    <x v="800"/>
    <x v="800"/>
    <s v="E-Wallet"/>
    <n v="118.9750502180253"/>
    <n v="0.30000000000000054"/>
    <m/>
  </r>
  <r>
    <s v="INV1802"/>
    <x v="2"/>
    <x v="2"/>
    <n v="2372"/>
    <x v="0"/>
    <x v="1"/>
    <x v="2"/>
    <x v="74"/>
    <n v="83.641953857871798"/>
    <n v="6"/>
    <x v="801"/>
    <x v="801"/>
    <s v="Cash"/>
    <n v="351.29620620306196"/>
    <n v="0.29999999999999949"/>
    <m/>
  </r>
  <r>
    <s v="INV1803"/>
    <x v="2"/>
    <x v="2"/>
    <n v="2465"/>
    <x v="1"/>
    <x v="1"/>
    <x v="1"/>
    <x v="41"/>
    <n v="236.19661480405699"/>
    <n v="3"/>
    <x v="802"/>
    <x v="802"/>
    <s v="Credit Card"/>
    <n v="496.01289108852097"/>
    <n v="0.30000000000000016"/>
    <m/>
  </r>
  <r>
    <s v="INV1804"/>
    <x v="2"/>
    <x v="1"/>
    <n v="1013"/>
    <x v="0"/>
    <x v="0"/>
    <x v="2"/>
    <x v="61"/>
    <n v="38.633789995972997"/>
    <n v="5"/>
    <x v="803"/>
    <x v="803"/>
    <s v="Cash"/>
    <n v="135.21826498590542"/>
    <n v="0.30000000000000043"/>
    <m/>
  </r>
  <r>
    <s v="INV1805"/>
    <x v="2"/>
    <x v="2"/>
    <n v="1163"/>
    <x v="0"/>
    <x v="1"/>
    <x v="4"/>
    <x v="3"/>
    <n v="31.941720132192099"/>
    <n v="2"/>
    <x v="804"/>
    <x v="804"/>
    <s v="Cash"/>
    <n v="44.718408185068995"/>
    <n v="0.2999999999999991"/>
    <m/>
  </r>
  <r>
    <s v="INV1806"/>
    <x v="0"/>
    <x v="2"/>
    <n v="2443"/>
    <x v="1"/>
    <x v="0"/>
    <x v="0"/>
    <x v="54"/>
    <n v="114.84700563867101"/>
    <n v="1"/>
    <x v="805"/>
    <x v="805"/>
    <s v="Cash"/>
    <n v="80.392903947069698"/>
    <n v="0.30000000000000004"/>
    <m/>
  </r>
  <r>
    <s v="INV1807"/>
    <x v="0"/>
    <x v="0"/>
    <n v="1756"/>
    <x v="0"/>
    <x v="0"/>
    <x v="1"/>
    <x v="35"/>
    <n v="36.728707957005298"/>
    <n v="1"/>
    <x v="806"/>
    <x v="806"/>
    <s v="Credit Card"/>
    <n v="25.7100955699037"/>
    <n v="0.30000000000000021"/>
    <m/>
  </r>
  <r>
    <s v="INV1808"/>
    <x v="2"/>
    <x v="2"/>
    <n v="2051"/>
    <x v="1"/>
    <x v="0"/>
    <x v="3"/>
    <x v="38"/>
    <n v="179.67274823979801"/>
    <n v="7"/>
    <x v="807"/>
    <x v="807"/>
    <s v="E-Wallet"/>
    <n v="880.39646637501301"/>
    <n v="0.3"/>
    <m/>
  </r>
  <r>
    <s v="INV1809"/>
    <x v="1"/>
    <x v="2"/>
    <n v="1445"/>
    <x v="1"/>
    <x v="0"/>
    <x v="0"/>
    <x v="21"/>
    <n v="75.619822736813902"/>
    <n v="2"/>
    <x v="808"/>
    <x v="808"/>
    <s v="Credit Card"/>
    <n v="105.8677518315387"/>
    <n v="0.30000000000000138"/>
    <m/>
  </r>
  <r>
    <s v="INV1810"/>
    <x v="2"/>
    <x v="2"/>
    <n v="2231"/>
    <x v="1"/>
    <x v="0"/>
    <x v="3"/>
    <x v="14"/>
    <n v="269.75240932781799"/>
    <n v="4"/>
    <x v="809"/>
    <x v="809"/>
    <s v="E-Wallet"/>
    <n v="755.30674611788891"/>
    <n v="0.30000000000000004"/>
    <m/>
  </r>
  <r>
    <s v="INV1811"/>
    <x v="1"/>
    <x v="0"/>
    <n v="2493"/>
    <x v="0"/>
    <x v="1"/>
    <x v="0"/>
    <x v="11"/>
    <n v="237.21502344512399"/>
    <n v="5"/>
    <x v="810"/>
    <x v="810"/>
    <s v="Cash"/>
    <n v="830.25258205793398"/>
    <n v="0.30000000000000004"/>
    <m/>
  </r>
  <r>
    <s v="INV1812"/>
    <x v="2"/>
    <x v="1"/>
    <n v="1715"/>
    <x v="0"/>
    <x v="1"/>
    <x v="0"/>
    <x v="78"/>
    <n v="212.91450976884801"/>
    <n v="7"/>
    <x v="811"/>
    <x v="811"/>
    <s v="E-Wallet"/>
    <n v="1043.281097867349"/>
    <n v="0.30000000000000138"/>
    <m/>
  </r>
  <r>
    <s v="INV1813"/>
    <x v="2"/>
    <x v="0"/>
    <n v="1975"/>
    <x v="1"/>
    <x v="0"/>
    <x v="2"/>
    <x v="82"/>
    <n v="188.913767941505"/>
    <n v="2"/>
    <x v="812"/>
    <x v="812"/>
    <s v="Cash"/>
    <n v="264.47927511810803"/>
    <n v="0.29999999999999916"/>
    <m/>
  </r>
  <r>
    <s v="INV1814"/>
    <x v="0"/>
    <x v="0"/>
    <n v="1818"/>
    <x v="0"/>
    <x v="1"/>
    <x v="1"/>
    <x v="32"/>
    <n v="260.405061799024"/>
    <n v="6"/>
    <x v="813"/>
    <x v="813"/>
    <s v="Cash"/>
    <n v="1093.701259555897"/>
    <n v="0.3000000000000006"/>
    <m/>
  </r>
  <r>
    <s v="INV1815"/>
    <x v="1"/>
    <x v="1"/>
    <n v="1103"/>
    <x v="0"/>
    <x v="0"/>
    <x v="1"/>
    <x v="18"/>
    <n v="74.687997847399402"/>
    <n v="1"/>
    <x v="814"/>
    <x v="814"/>
    <s v="Credit Card"/>
    <n v="52.281598493179601"/>
    <n v="0.29999999999999971"/>
    <m/>
  </r>
  <r>
    <s v="INV1816"/>
    <x v="1"/>
    <x v="0"/>
    <n v="1741"/>
    <x v="0"/>
    <x v="1"/>
    <x v="0"/>
    <x v="6"/>
    <n v="263.201564401626"/>
    <n v="7"/>
    <x v="815"/>
    <x v="815"/>
    <s v="Cash"/>
    <n v="1289.687665567966"/>
    <n v="0.3"/>
    <m/>
  </r>
  <r>
    <s v="INV1817"/>
    <x v="0"/>
    <x v="1"/>
    <n v="1425"/>
    <x v="0"/>
    <x v="1"/>
    <x v="4"/>
    <x v="78"/>
    <n v="238.95276654297501"/>
    <n v="9"/>
    <x v="816"/>
    <x v="816"/>
    <s v="Credit Card"/>
    <n v="1505.4024292207368"/>
    <n v="0.30000000000000099"/>
    <m/>
  </r>
  <r>
    <s v="INV1818"/>
    <x v="0"/>
    <x v="0"/>
    <n v="2124"/>
    <x v="1"/>
    <x v="1"/>
    <x v="4"/>
    <x v="75"/>
    <n v="226.966639652428"/>
    <n v="5"/>
    <x v="817"/>
    <x v="817"/>
    <s v="E-Wallet"/>
    <n v="794.38323878349706"/>
    <n v="0.30000000000000088"/>
    <m/>
  </r>
  <r>
    <s v="INV1819"/>
    <x v="0"/>
    <x v="1"/>
    <n v="1638"/>
    <x v="0"/>
    <x v="1"/>
    <x v="3"/>
    <x v="13"/>
    <n v="172.764146641727"/>
    <n v="5"/>
    <x v="818"/>
    <x v="818"/>
    <s v="E-Wallet"/>
    <n v="604.67451324604804"/>
    <n v="0.29999999999999916"/>
    <m/>
  </r>
  <r>
    <s v="INV1820"/>
    <x v="0"/>
    <x v="2"/>
    <n v="1849"/>
    <x v="1"/>
    <x v="0"/>
    <x v="3"/>
    <x v="71"/>
    <n v="81.410806681474"/>
    <n v="4"/>
    <x v="819"/>
    <x v="819"/>
    <s v="Cash"/>
    <n v="227.95025870812719"/>
    <n v="0.30000000000000004"/>
    <m/>
  </r>
  <r>
    <s v="INV1821"/>
    <x v="1"/>
    <x v="0"/>
    <n v="2129"/>
    <x v="1"/>
    <x v="0"/>
    <x v="2"/>
    <x v="82"/>
    <n v="132.828895637649"/>
    <n v="3"/>
    <x v="820"/>
    <x v="820"/>
    <s v="Credit Card"/>
    <n v="278.94068083906495"/>
    <n v="0.29999999999999832"/>
    <m/>
  </r>
  <r>
    <s v="INV1822"/>
    <x v="1"/>
    <x v="0"/>
    <n v="1768"/>
    <x v="0"/>
    <x v="1"/>
    <x v="0"/>
    <x v="39"/>
    <n v="240.135489816252"/>
    <n v="9"/>
    <x v="821"/>
    <x v="821"/>
    <s v="Cash"/>
    <n v="1512.8535858423891"/>
    <n v="0.3"/>
    <m/>
  </r>
  <r>
    <s v="INV1823"/>
    <x v="2"/>
    <x v="0"/>
    <n v="1276"/>
    <x v="1"/>
    <x v="1"/>
    <x v="3"/>
    <x v="12"/>
    <n v="19.215760463624001"/>
    <n v="5"/>
    <x v="822"/>
    <x v="822"/>
    <s v="Credit Card"/>
    <n v="67.255161622684298"/>
    <n v="0.29999999999999977"/>
    <m/>
  </r>
  <r>
    <s v="INV1824"/>
    <x v="2"/>
    <x v="0"/>
    <n v="2088"/>
    <x v="0"/>
    <x v="0"/>
    <x v="3"/>
    <x v="72"/>
    <n v="236.794723086489"/>
    <n v="8"/>
    <x v="823"/>
    <x v="823"/>
    <s v="Credit Card"/>
    <n v="1326.0504492843349"/>
    <n v="0.30000000000000104"/>
    <m/>
  </r>
  <r>
    <s v="INV1825"/>
    <x v="0"/>
    <x v="2"/>
    <n v="1899"/>
    <x v="0"/>
    <x v="1"/>
    <x v="5"/>
    <x v="60"/>
    <n v="79.620514741394203"/>
    <n v="9"/>
    <x v="824"/>
    <x v="824"/>
    <s v="Credit Card"/>
    <n v="501.60924287078399"/>
    <n v="0.29999999999999943"/>
    <m/>
  </r>
  <r>
    <s v="INV1826"/>
    <x v="0"/>
    <x v="0"/>
    <n v="1187"/>
    <x v="1"/>
    <x v="0"/>
    <x v="0"/>
    <x v="84"/>
    <n v="51.849668209264799"/>
    <n v="5"/>
    <x v="825"/>
    <x v="825"/>
    <s v="E-Wallet"/>
    <n v="181.47383873242671"/>
    <n v="0.30000000000000038"/>
    <m/>
  </r>
  <r>
    <s v="INV1827"/>
    <x v="0"/>
    <x v="2"/>
    <n v="2340"/>
    <x v="1"/>
    <x v="0"/>
    <x v="2"/>
    <x v="84"/>
    <n v="43.5533822722876"/>
    <n v="9"/>
    <x v="826"/>
    <x v="826"/>
    <s v="Credit Card"/>
    <n v="274.38630831541201"/>
    <n v="0.29999999999999893"/>
    <m/>
  </r>
  <r>
    <s v="INV1828"/>
    <x v="2"/>
    <x v="2"/>
    <n v="2161"/>
    <x v="1"/>
    <x v="0"/>
    <x v="3"/>
    <x v="3"/>
    <n v="17.902503465736299"/>
    <n v="2"/>
    <x v="827"/>
    <x v="827"/>
    <s v="E-Wallet"/>
    <n v="25.063504852030896"/>
    <n v="0.29999999999999977"/>
    <m/>
  </r>
  <r>
    <s v="INV1829"/>
    <x v="2"/>
    <x v="2"/>
    <n v="2366"/>
    <x v="1"/>
    <x v="1"/>
    <x v="2"/>
    <x v="6"/>
    <n v="161.84008071422099"/>
    <n v="9"/>
    <x v="828"/>
    <x v="828"/>
    <s v="Credit Card"/>
    <n v="1019.5925084995929"/>
    <n v="0.30000000000000004"/>
    <m/>
  </r>
  <r>
    <s v="INV1830"/>
    <x v="2"/>
    <x v="2"/>
    <n v="1104"/>
    <x v="0"/>
    <x v="0"/>
    <x v="1"/>
    <x v="72"/>
    <n v="73.295363081181506"/>
    <n v="4"/>
    <x v="829"/>
    <x v="829"/>
    <s v="E-Wallet"/>
    <n v="205.22701662730822"/>
    <n v="0.3"/>
    <m/>
  </r>
  <r>
    <s v="INV1831"/>
    <x v="2"/>
    <x v="1"/>
    <n v="1545"/>
    <x v="0"/>
    <x v="1"/>
    <x v="2"/>
    <x v="8"/>
    <n v="296.93521207609302"/>
    <n v="6"/>
    <x v="830"/>
    <x v="830"/>
    <s v="E-Wallet"/>
    <n v="1247.1278907195831"/>
    <n v="0.3000000000000011"/>
    <m/>
  </r>
  <r>
    <s v="INV1832"/>
    <x v="2"/>
    <x v="1"/>
    <n v="1379"/>
    <x v="0"/>
    <x v="0"/>
    <x v="4"/>
    <x v="29"/>
    <n v="176.58665920293899"/>
    <n v="6"/>
    <x v="831"/>
    <x v="831"/>
    <s v="E-Wallet"/>
    <n v="741.66396865233901"/>
    <n v="0.30000000000000188"/>
    <m/>
  </r>
  <r>
    <s v="INV1833"/>
    <x v="2"/>
    <x v="0"/>
    <n v="1109"/>
    <x v="1"/>
    <x v="1"/>
    <x v="4"/>
    <x v="35"/>
    <n v="49.986728113242997"/>
    <n v="6"/>
    <x v="832"/>
    <x v="832"/>
    <s v="Cash"/>
    <n v="209.94425807562061"/>
    <n v="0.30000000000000004"/>
    <m/>
  </r>
  <r>
    <s v="INV1834"/>
    <x v="2"/>
    <x v="1"/>
    <n v="1544"/>
    <x v="1"/>
    <x v="1"/>
    <x v="2"/>
    <x v="64"/>
    <n v="209.74113683529501"/>
    <n v="2"/>
    <x v="833"/>
    <x v="833"/>
    <s v="Credit Card"/>
    <n v="293.63759156941398"/>
    <n v="0.29999999999999932"/>
    <m/>
  </r>
  <r>
    <s v="INV1835"/>
    <x v="0"/>
    <x v="1"/>
    <n v="1353"/>
    <x v="1"/>
    <x v="1"/>
    <x v="4"/>
    <x v="22"/>
    <n v="270.34563428782002"/>
    <n v="7"/>
    <x v="834"/>
    <x v="834"/>
    <s v="Cash"/>
    <n v="1324.693608010318"/>
    <n v="0.3"/>
    <m/>
  </r>
  <r>
    <s v="INV1836"/>
    <x v="0"/>
    <x v="0"/>
    <n v="1742"/>
    <x v="0"/>
    <x v="0"/>
    <x v="1"/>
    <x v="61"/>
    <n v="226.10205365718801"/>
    <n v="6"/>
    <x v="835"/>
    <x v="835"/>
    <s v="Credit Card"/>
    <n v="949.6286253601819"/>
    <n v="0.30000000000000149"/>
    <m/>
  </r>
  <r>
    <s v="INV1837"/>
    <x v="0"/>
    <x v="0"/>
    <n v="1316"/>
    <x v="1"/>
    <x v="0"/>
    <x v="0"/>
    <x v="50"/>
    <n v="32.167559701439799"/>
    <n v="1"/>
    <x v="836"/>
    <x v="836"/>
    <s v="Credit Card"/>
    <n v="22.517291791007857"/>
    <n v="0.3000000000000001"/>
    <m/>
  </r>
  <r>
    <s v="INV1838"/>
    <x v="0"/>
    <x v="0"/>
    <n v="2289"/>
    <x v="0"/>
    <x v="1"/>
    <x v="4"/>
    <x v="69"/>
    <n v="269.80641254587101"/>
    <n v="2"/>
    <x v="837"/>
    <x v="837"/>
    <s v="Cash"/>
    <n v="377.72897756422003"/>
    <n v="0.29999999999999888"/>
    <m/>
  </r>
  <r>
    <s v="INV1839"/>
    <x v="2"/>
    <x v="1"/>
    <n v="2088"/>
    <x v="1"/>
    <x v="1"/>
    <x v="4"/>
    <x v="33"/>
    <n v="240.23952189938899"/>
    <n v="7"/>
    <x v="838"/>
    <x v="838"/>
    <s v="E-Wallet"/>
    <n v="1177.173657307002"/>
    <n v="0.30000000000000115"/>
    <m/>
  </r>
  <r>
    <s v="INV1840"/>
    <x v="1"/>
    <x v="1"/>
    <n v="1332"/>
    <x v="0"/>
    <x v="1"/>
    <x v="2"/>
    <x v="35"/>
    <n v="55.908131030628098"/>
    <n v="1"/>
    <x v="839"/>
    <x v="839"/>
    <s v="Credit Card"/>
    <n v="39.135691721439699"/>
    <n v="0.29999999999999949"/>
    <m/>
  </r>
  <r>
    <s v="INV1841"/>
    <x v="2"/>
    <x v="0"/>
    <n v="2156"/>
    <x v="0"/>
    <x v="0"/>
    <x v="1"/>
    <x v="56"/>
    <n v="25.0179077325168"/>
    <n v="1"/>
    <x v="840"/>
    <x v="840"/>
    <s v="E-Wallet"/>
    <n v="17.512535412761739"/>
    <n v="0.30000000000000082"/>
    <m/>
  </r>
  <r>
    <s v="INV1842"/>
    <x v="1"/>
    <x v="2"/>
    <n v="1591"/>
    <x v="1"/>
    <x v="0"/>
    <x v="0"/>
    <x v="70"/>
    <n v="171.620066841149"/>
    <n v="1"/>
    <x v="841"/>
    <x v="841"/>
    <s v="Cash"/>
    <n v="120.1340467888042"/>
    <n v="0.3000000000000006"/>
    <m/>
  </r>
  <r>
    <s v="INV1843"/>
    <x v="0"/>
    <x v="0"/>
    <n v="1782"/>
    <x v="1"/>
    <x v="0"/>
    <x v="2"/>
    <x v="77"/>
    <n v="55.2503852885933"/>
    <n v="8"/>
    <x v="842"/>
    <x v="842"/>
    <s v="E-Wallet"/>
    <n v="309.40215761612296"/>
    <n v="0.29999999999999827"/>
    <m/>
  </r>
  <r>
    <s v="INV1844"/>
    <x v="2"/>
    <x v="2"/>
    <n v="1539"/>
    <x v="0"/>
    <x v="0"/>
    <x v="2"/>
    <x v="79"/>
    <n v="252.03137625262801"/>
    <n v="4"/>
    <x v="843"/>
    <x v="843"/>
    <s v="Credit Card"/>
    <n v="705.68785350735607"/>
    <n v="0.30000000000000093"/>
    <m/>
  </r>
  <r>
    <s v="INV1845"/>
    <x v="0"/>
    <x v="2"/>
    <n v="1734"/>
    <x v="0"/>
    <x v="1"/>
    <x v="5"/>
    <x v="3"/>
    <n v="113.917050434785"/>
    <n v="4"/>
    <x v="844"/>
    <x v="844"/>
    <s v="Credit Card"/>
    <n v="318.96774121739901"/>
    <n v="0.29999999999999932"/>
    <m/>
  </r>
  <r>
    <s v="INV1846"/>
    <x v="2"/>
    <x v="0"/>
    <n v="1620"/>
    <x v="1"/>
    <x v="1"/>
    <x v="1"/>
    <x v="37"/>
    <n v="274.73880897360601"/>
    <n v="2"/>
    <x v="845"/>
    <x v="845"/>
    <s v="Credit Card"/>
    <n v="384.63433256304904"/>
    <n v="0.30000000000000016"/>
    <m/>
  </r>
  <r>
    <s v="INV1847"/>
    <x v="0"/>
    <x v="0"/>
    <n v="1618"/>
    <x v="1"/>
    <x v="0"/>
    <x v="0"/>
    <x v="53"/>
    <n v="174.049569920891"/>
    <n v="1"/>
    <x v="846"/>
    <x v="846"/>
    <s v="Cash"/>
    <n v="121.83469894462351"/>
    <n v="0.3000000000000011"/>
    <m/>
  </r>
  <r>
    <s v="INV1848"/>
    <x v="1"/>
    <x v="0"/>
    <n v="2392"/>
    <x v="0"/>
    <x v="0"/>
    <x v="1"/>
    <x v="77"/>
    <n v="62.974991429503703"/>
    <n v="9"/>
    <x v="847"/>
    <x v="847"/>
    <s v="Credit Card"/>
    <n v="396.74244600587298"/>
    <n v="0.30000000000000016"/>
    <m/>
  </r>
  <r>
    <s v="INV1849"/>
    <x v="1"/>
    <x v="1"/>
    <n v="1908"/>
    <x v="1"/>
    <x v="1"/>
    <x v="0"/>
    <x v="0"/>
    <n v="50.483671534342001"/>
    <n v="7"/>
    <x v="848"/>
    <x v="848"/>
    <s v="Cash"/>
    <n v="247.36999051827598"/>
    <n v="0.29999999999999943"/>
    <m/>
  </r>
  <r>
    <s v="INV1850"/>
    <x v="1"/>
    <x v="2"/>
    <n v="1991"/>
    <x v="0"/>
    <x v="0"/>
    <x v="1"/>
    <x v="44"/>
    <n v="177.17700689174799"/>
    <n v="4"/>
    <x v="849"/>
    <x v="849"/>
    <s v="E-Wallet"/>
    <n v="496.09561929689602"/>
    <n v="0.29999999999999971"/>
    <m/>
  </r>
  <r>
    <s v="INV1851"/>
    <x v="2"/>
    <x v="1"/>
    <n v="1098"/>
    <x v="0"/>
    <x v="0"/>
    <x v="2"/>
    <x v="50"/>
    <n v="230.94624744010801"/>
    <n v="6"/>
    <x v="850"/>
    <x v="850"/>
    <s v="Credit Card"/>
    <n v="969.97423924845498"/>
    <n v="0.3"/>
    <m/>
  </r>
  <r>
    <s v="INV1852"/>
    <x v="1"/>
    <x v="1"/>
    <n v="1316"/>
    <x v="1"/>
    <x v="0"/>
    <x v="2"/>
    <x v="44"/>
    <n v="236.636637845232"/>
    <n v="2"/>
    <x v="851"/>
    <x v="851"/>
    <s v="Credit Card"/>
    <n v="331.291292983326"/>
    <n v="0.29999999999999899"/>
    <m/>
  </r>
  <r>
    <s v="INV1853"/>
    <x v="2"/>
    <x v="0"/>
    <n v="1122"/>
    <x v="1"/>
    <x v="0"/>
    <x v="3"/>
    <x v="17"/>
    <n v="89.969647287971497"/>
    <n v="7"/>
    <x v="852"/>
    <x v="852"/>
    <s v="Credit Card"/>
    <n v="440.85127171106001"/>
    <n v="0.30000000000000004"/>
    <m/>
  </r>
  <r>
    <s v="INV1854"/>
    <x v="1"/>
    <x v="1"/>
    <n v="2343"/>
    <x v="1"/>
    <x v="0"/>
    <x v="4"/>
    <x v="60"/>
    <n v="69.231560084528496"/>
    <n v="2"/>
    <x v="853"/>
    <x v="853"/>
    <s v="E-Wallet"/>
    <n v="96.924184118339895"/>
    <n v="0.3"/>
    <m/>
  </r>
  <r>
    <s v="INV1855"/>
    <x v="1"/>
    <x v="0"/>
    <n v="1798"/>
    <x v="1"/>
    <x v="0"/>
    <x v="5"/>
    <x v="38"/>
    <n v="14.8593283027909"/>
    <n v="8"/>
    <x v="854"/>
    <x v="854"/>
    <s v="Credit Card"/>
    <n v="83.212238495628895"/>
    <n v="0.30000000000000004"/>
    <m/>
  </r>
  <r>
    <s v="INV1856"/>
    <x v="2"/>
    <x v="2"/>
    <n v="1456"/>
    <x v="1"/>
    <x v="1"/>
    <x v="1"/>
    <x v="34"/>
    <n v="206.96775384833899"/>
    <n v="8"/>
    <x v="855"/>
    <x v="855"/>
    <s v="Cash"/>
    <n v="1159.0194215506972"/>
    <n v="0.29999999999999993"/>
    <m/>
  </r>
  <r>
    <s v="INV1857"/>
    <x v="2"/>
    <x v="0"/>
    <n v="1521"/>
    <x v="0"/>
    <x v="0"/>
    <x v="5"/>
    <x v="29"/>
    <n v="32.204794945726299"/>
    <n v="1"/>
    <x v="856"/>
    <x v="856"/>
    <s v="E-Wallet"/>
    <n v="22.543356462008411"/>
    <n v="0.29999999999999993"/>
    <m/>
  </r>
  <r>
    <s v="INV1858"/>
    <x v="1"/>
    <x v="1"/>
    <n v="1519"/>
    <x v="0"/>
    <x v="0"/>
    <x v="3"/>
    <x v="67"/>
    <n v="132.02074851211799"/>
    <n v="8"/>
    <x v="857"/>
    <x v="857"/>
    <s v="E-Wallet"/>
    <n v="739.31619166785606"/>
    <n v="0.30000000000000188"/>
    <m/>
  </r>
  <r>
    <s v="INV1859"/>
    <x v="2"/>
    <x v="1"/>
    <n v="1916"/>
    <x v="1"/>
    <x v="1"/>
    <x v="4"/>
    <x v="83"/>
    <n v="184.487827565305"/>
    <n v="2"/>
    <x v="858"/>
    <x v="858"/>
    <s v="E-Wallet"/>
    <n v="258.28295859142804"/>
    <n v="0.2999999999999991"/>
    <m/>
  </r>
  <r>
    <s v="INV1860"/>
    <x v="1"/>
    <x v="0"/>
    <n v="1716"/>
    <x v="1"/>
    <x v="1"/>
    <x v="1"/>
    <x v="9"/>
    <n v="281.76159402670601"/>
    <n v="6"/>
    <x v="859"/>
    <x v="859"/>
    <s v="E-Wallet"/>
    <n v="1183.3986949121588"/>
    <n v="0.30000000000000127"/>
    <m/>
  </r>
  <r>
    <s v="INV1861"/>
    <x v="2"/>
    <x v="0"/>
    <n v="1314"/>
    <x v="1"/>
    <x v="1"/>
    <x v="0"/>
    <x v="23"/>
    <n v="100.422619717172"/>
    <n v="1"/>
    <x v="860"/>
    <x v="860"/>
    <s v="E-Wallet"/>
    <n v="70.295833802020198"/>
    <n v="0.30000000000000199"/>
    <m/>
  </r>
  <r>
    <s v="INV1862"/>
    <x v="0"/>
    <x v="1"/>
    <n v="1708"/>
    <x v="0"/>
    <x v="0"/>
    <x v="4"/>
    <x v="34"/>
    <n v="82.433927109490696"/>
    <n v="5"/>
    <x v="861"/>
    <x v="861"/>
    <s v="Cash"/>
    <n v="288.51874488321704"/>
    <n v="0.30000000000000021"/>
    <m/>
  </r>
  <r>
    <s v="INV1863"/>
    <x v="0"/>
    <x v="2"/>
    <n v="1709"/>
    <x v="1"/>
    <x v="1"/>
    <x v="2"/>
    <x v="53"/>
    <n v="199.70644474296799"/>
    <n v="7"/>
    <x v="862"/>
    <x v="862"/>
    <s v="E-Wallet"/>
    <n v="978.56157924053696"/>
    <n v="0.30000000000000149"/>
    <m/>
  </r>
  <r>
    <s v="INV1864"/>
    <x v="0"/>
    <x v="2"/>
    <n v="2043"/>
    <x v="1"/>
    <x v="0"/>
    <x v="3"/>
    <x v="38"/>
    <n v="189.579319295538"/>
    <n v="1"/>
    <x v="863"/>
    <x v="863"/>
    <s v="Credit Card"/>
    <n v="132.7055235068764"/>
    <n v="0.30000000000000104"/>
    <m/>
  </r>
  <r>
    <s v="INV1865"/>
    <x v="0"/>
    <x v="0"/>
    <n v="1559"/>
    <x v="0"/>
    <x v="0"/>
    <x v="4"/>
    <x v="58"/>
    <n v="106.311837159356"/>
    <n v="2"/>
    <x v="864"/>
    <x v="864"/>
    <s v="E-Wallet"/>
    <n v="148.8365720230984"/>
    <n v="0.30000000000000004"/>
    <m/>
  </r>
  <r>
    <s v="INV1866"/>
    <x v="0"/>
    <x v="2"/>
    <n v="1968"/>
    <x v="0"/>
    <x v="0"/>
    <x v="4"/>
    <x v="71"/>
    <n v="279.14953229783799"/>
    <n v="7"/>
    <x v="865"/>
    <x v="865"/>
    <s v="E-Wallet"/>
    <n v="1367.8327082594001"/>
    <n v="0.30000000000000099"/>
    <m/>
  </r>
  <r>
    <s v="INV1867"/>
    <x v="1"/>
    <x v="1"/>
    <n v="2153"/>
    <x v="1"/>
    <x v="1"/>
    <x v="2"/>
    <x v="22"/>
    <n v="255.01007497199299"/>
    <n v="6"/>
    <x v="866"/>
    <x v="866"/>
    <s v="E-Wallet"/>
    <n v="1071.042314882372"/>
    <n v="0.30000000000000004"/>
    <m/>
  </r>
  <r>
    <s v="INV1868"/>
    <x v="0"/>
    <x v="0"/>
    <n v="2316"/>
    <x v="1"/>
    <x v="1"/>
    <x v="1"/>
    <x v="15"/>
    <n v="74.954938300873494"/>
    <n v="3"/>
    <x v="867"/>
    <x v="867"/>
    <s v="E-Wallet"/>
    <n v="157.40537043183389"/>
    <n v="0.30000000000000049"/>
    <m/>
  </r>
  <r>
    <s v="INV1869"/>
    <x v="0"/>
    <x v="1"/>
    <n v="2155"/>
    <x v="1"/>
    <x v="1"/>
    <x v="0"/>
    <x v="70"/>
    <n v="79.351338176011694"/>
    <n v="2"/>
    <x v="868"/>
    <x v="868"/>
    <s v="E-Wallet"/>
    <n v="111.09187344641599"/>
    <n v="0.30000000000000066"/>
    <m/>
  </r>
  <r>
    <s v="INV1870"/>
    <x v="0"/>
    <x v="1"/>
    <n v="1355"/>
    <x v="0"/>
    <x v="1"/>
    <x v="2"/>
    <x v="35"/>
    <n v="158.56710059725299"/>
    <n v="4"/>
    <x v="869"/>
    <x v="869"/>
    <s v="Cash"/>
    <n v="443.98788167230896"/>
    <n v="0.30000000000000021"/>
    <m/>
  </r>
  <r>
    <s v="INV1871"/>
    <x v="0"/>
    <x v="2"/>
    <n v="2077"/>
    <x v="1"/>
    <x v="1"/>
    <x v="0"/>
    <x v="20"/>
    <n v="234.33590950190799"/>
    <n v="3"/>
    <x v="870"/>
    <x v="870"/>
    <s v="Cash"/>
    <n v="492.10540995400805"/>
    <n v="0.30000000000000027"/>
    <m/>
  </r>
  <r>
    <s v="INV1872"/>
    <x v="2"/>
    <x v="0"/>
    <n v="1889"/>
    <x v="1"/>
    <x v="0"/>
    <x v="1"/>
    <x v="2"/>
    <n v="22.771710022654599"/>
    <n v="7"/>
    <x v="871"/>
    <x v="871"/>
    <s v="E-Wallet"/>
    <n v="111.58137911100721"/>
    <n v="0.30000000000000121"/>
    <m/>
  </r>
  <r>
    <s v="INV1873"/>
    <x v="1"/>
    <x v="0"/>
    <n v="1792"/>
    <x v="1"/>
    <x v="0"/>
    <x v="4"/>
    <x v="19"/>
    <n v="211.06719458306401"/>
    <n v="8"/>
    <x v="872"/>
    <x v="872"/>
    <s v="Cash"/>
    <n v="1181.976289665155"/>
    <n v="0.30000000000000115"/>
    <m/>
  </r>
  <r>
    <s v="INV1874"/>
    <x v="0"/>
    <x v="2"/>
    <n v="2410"/>
    <x v="0"/>
    <x v="0"/>
    <x v="0"/>
    <x v="53"/>
    <n v="197.98841024080801"/>
    <n v="2"/>
    <x v="873"/>
    <x v="873"/>
    <s v="Credit Card"/>
    <n v="277.18377433713204"/>
    <n v="0.29999999999999793"/>
    <m/>
  </r>
  <r>
    <s v="INV1875"/>
    <x v="0"/>
    <x v="1"/>
    <n v="1264"/>
    <x v="0"/>
    <x v="0"/>
    <x v="3"/>
    <x v="56"/>
    <n v="77.129227814766594"/>
    <n v="7"/>
    <x v="874"/>
    <x v="874"/>
    <s v="E-Wallet"/>
    <n v="377.93321629235697"/>
    <n v="0.29999999999999855"/>
    <m/>
  </r>
  <r>
    <s v="INV1876"/>
    <x v="0"/>
    <x v="1"/>
    <n v="1981"/>
    <x v="1"/>
    <x v="1"/>
    <x v="3"/>
    <x v="61"/>
    <n v="207.59237383999101"/>
    <n v="8"/>
    <x v="875"/>
    <x v="875"/>
    <s v="Credit Card"/>
    <n v="1162.5172935039418"/>
    <n v="0.30000000000000127"/>
    <m/>
  </r>
  <r>
    <s v="INV1877"/>
    <x v="1"/>
    <x v="1"/>
    <n v="2238"/>
    <x v="1"/>
    <x v="1"/>
    <x v="2"/>
    <x v="56"/>
    <n v="282.65312546310298"/>
    <n v="6"/>
    <x v="876"/>
    <x v="876"/>
    <s v="Credit Card"/>
    <n v="1187.1431269450331"/>
    <n v="0.30000000000000054"/>
    <m/>
  </r>
  <r>
    <s v="INV1878"/>
    <x v="2"/>
    <x v="1"/>
    <n v="2483"/>
    <x v="0"/>
    <x v="0"/>
    <x v="1"/>
    <x v="30"/>
    <n v="23.5678950418128"/>
    <n v="6"/>
    <x v="877"/>
    <x v="877"/>
    <s v="E-Wallet"/>
    <n v="98.985159175613887"/>
    <n v="0.30000000000000004"/>
    <m/>
  </r>
  <r>
    <s v="INV1879"/>
    <x v="1"/>
    <x v="0"/>
    <n v="2481"/>
    <x v="0"/>
    <x v="1"/>
    <x v="2"/>
    <x v="26"/>
    <n v="102.699096034698"/>
    <n v="1"/>
    <x v="878"/>
    <x v="878"/>
    <s v="Credit Card"/>
    <n v="71.889367224288605"/>
    <n v="0.29999999999999993"/>
    <m/>
  </r>
  <r>
    <s v="INV1880"/>
    <x v="2"/>
    <x v="0"/>
    <n v="1801"/>
    <x v="0"/>
    <x v="1"/>
    <x v="2"/>
    <x v="25"/>
    <n v="137.07124783324301"/>
    <n v="4"/>
    <x v="879"/>
    <x v="879"/>
    <s v="Credit Card"/>
    <n v="383.79949393308107"/>
    <n v="0.29999999999999882"/>
    <m/>
  </r>
  <r>
    <s v="INV1881"/>
    <x v="0"/>
    <x v="2"/>
    <n v="1042"/>
    <x v="0"/>
    <x v="0"/>
    <x v="5"/>
    <x v="42"/>
    <n v="270.78550408816"/>
    <n v="1"/>
    <x v="880"/>
    <x v="880"/>
    <s v="Credit Card"/>
    <n v="189.549852861712"/>
    <n v="0.3"/>
    <m/>
  </r>
  <r>
    <s v="INV1882"/>
    <x v="0"/>
    <x v="2"/>
    <n v="1861"/>
    <x v="0"/>
    <x v="0"/>
    <x v="2"/>
    <x v="72"/>
    <n v="289.05581951665499"/>
    <n v="4"/>
    <x v="881"/>
    <x v="881"/>
    <s v="E-Wallet"/>
    <n v="809.35629464663396"/>
    <n v="0.30000000000000004"/>
    <m/>
  </r>
  <r>
    <s v="INV1883"/>
    <x v="1"/>
    <x v="0"/>
    <n v="2301"/>
    <x v="0"/>
    <x v="1"/>
    <x v="5"/>
    <x v="1"/>
    <n v="138.79342148393599"/>
    <n v="2"/>
    <x v="882"/>
    <x v="882"/>
    <s v="E-Wallet"/>
    <n v="194.31079007751018"/>
    <n v="0.30000000000000071"/>
    <m/>
  </r>
  <r>
    <s v="INV1884"/>
    <x v="1"/>
    <x v="0"/>
    <n v="2153"/>
    <x v="0"/>
    <x v="1"/>
    <x v="3"/>
    <x v="18"/>
    <n v="227.508239521235"/>
    <n v="5"/>
    <x v="883"/>
    <x v="883"/>
    <s v="Credit Card"/>
    <n v="796.27883832431712"/>
    <n v="0.30000000000000165"/>
    <m/>
  </r>
  <r>
    <s v="INV1885"/>
    <x v="2"/>
    <x v="1"/>
    <n v="1349"/>
    <x v="0"/>
    <x v="0"/>
    <x v="3"/>
    <x v="74"/>
    <n v="164.1816968917"/>
    <n v="9"/>
    <x v="884"/>
    <x v="884"/>
    <s v="E-Wallet"/>
    <n v="1034.3446904177101"/>
    <n v="0.29999999999999993"/>
    <m/>
  </r>
  <r>
    <s v="INV1886"/>
    <x v="2"/>
    <x v="1"/>
    <n v="2129"/>
    <x v="0"/>
    <x v="0"/>
    <x v="2"/>
    <x v="33"/>
    <n v="165.95705107499899"/>
    <n v="3"/>
    <x v="885"/>
    <x v="885"/>
    <s v="E-Wallet"/>
    <n v="348.50980725749798"/>
    <n v="0.29999999999999982"/>
    <m/>
  </r>
  <r>
    <s v="INV1887"/>
    <x v="1"/>
    <x v="2"/>
    <n v="1911"/>
    <x v="1"/>
    <x v="0"/>
    <x v="3"/>
    <x v="79"/>
    <n v="90.648859369243297"/>
    <n v="8"/>
    <x v="886"/>
    <x v="886"/>
    <s v="Credit Card"/>
    <n v="507.63361246776299"/>
    <n v="0.29999999999999982"/>
    <m/>
  </r>
  <r>
    <s v="INV1888"/>
    <x v="2"/>
    <x v="0"/>
    <n v="1000"/>
    <x v="1"/>
    <x v="1"/>
    <x v="1"/>
    <x v="45"/>
    <n v="72.917311300525"/>
    <n v="3"/>
    <x v="887"/>
    <x v="887"/>
    <s v="E-Wallet"/>
    <n v="153.12635373110248"/>
    <n v="0.3000000000000001"/>
    <m/>
  </r>
  <r>
    <s v="INV1889"/>
    <x v="1"/>
    <x v="2"/>
    <n v="1583"/>
    <x v="1"/>
    <x v="0"/>
    <x v="5"/>
    <x v="86"/>
    <n v="93.521550317971901"/>
    <n v="6"/>
    <x v="888"/>
    <x v="888"/>
    <s v="Cash"/>
    <n v="392.79051133548194"/>
    <n v="0.29999999999999949"/>
    <m/>
  </r>
  <r>
    <s v="INV1890"/>
    <x v="2"/>
    <x v="0"/>
    <n v="1431"/>
    <x v="0"/>
    <x v="0"/>
    <x v="5"/>
    <x v="22"/>
    <n v="171.33512210455299"/>
    <n v="4"/>
    <x v="889"/>
    <x v="889"/>
    <s v="E-Wallet"/>
    <n v="479.73834189274896"/>
    <n v="0.29999999999999916"/>
    <m/>
  </r>
  <r>
    <s v="INV1891"/>
    <x v="1"/>
    <x v="1"/>
    <n v="2329"/>
    <x v="1"/>
    <x v="1"/>
    <x v="2"/>
    <x v="11"/>
    <n v="18.4550039464058"/>
    <n v="8"/>
    <x v="890"/>
    <x v="890"/>
    <s v="Cash"/>
    <n v="103.3480220998721"/>
    <n v="0.30000000000000071"/>
    <m/>
  </r>
  <r>
    <s v="INV1892"/>
    <x v="1"/>
    <x v="2"/>
    <n v="1052"/>
    <x v="0"/>
    <x v="1"/>
    <x v="3"/>
    <x v="36"/>
    <n v="273.102193863357"/>
    <n v="6"/>
    <x v="891"/>
    <x v="891"/>
    <s v="Credit Card"/>
    <n v="1147.0292142260969"/>
    <n v="0.30000000000000066"/>
    <m/>
  </r>
  <r>
    <s v="INV1893"/>
    <x v="1"/>
    <x v="2"/>
    <n v="1939"/>
    <x v="0"/>
    <x v="1"/>
    <x v="0"/>
    <x v="59"/>
    <n v="55.322275769435102"/>
    <n v="8"/>
    <x v="892"/>
    <x v="892"/>
    <s v="E-Wallet"/>
    <n v="309.80474430883601"/>
    <n v="0.3"/>
    <m/>
  </r>
  <r>
    <s v="INV1894"/>
    <x v="2"/>
    <x v="0"/>
    <n v="1519"/>
    <x v="1"/>
    <x v="1"/>
    <x v="5"/>
    <x v="74"/>
    <n v="73.825716292702097"/>
    <n v="1"/>
    <x v="893"/>
    <x v="893"/>
    <s v="Credit Card"/>
    <n v="51.678001404891496"/>
    <n v="0.2999999999999996"/>
    <m/>
  </r>
  <r>
    <s v="INV1895"/>
    <x v="2"/>
    <x v="1"/>
    <n v="2353"/>
    <x v="0"/>
    <x v="1"/>
    <x v="2"/>
    <x v="22"/>
    <n v="160.30009116981699"/>
    <n v="6"/>
    <x v="894"/>
    <x v="894"/>
    <s v="Credit Card"/>
    <n v="673.260382913233"/>
    <n v="0.29999999999999982"/>
    <m/>
  </r>
  <r>
    <s v="INV1896"/>
    <x v="2"/>
    <x v="2"/>
    <n v="2348"/>
    <x v="1"/>
    <x v="0"/>
    <x v="2"/>
    <x v="3"/>
    <n v="215.933282237811"/>
    <n v="1"/>
    <x v="895"/>
    <x v="895"/>
    <s v="Credit Card"/>
    <n v="151.1532975664677"/>
    <n v="0.3"/>
    <m/>
  </r>
  <r>
    <s v="INV1897"/>
    <x v="1"/>
    <x v="1"/>
    <n v="2137"/>
    <x v="1"/>
    <x v="0"/>
    <x v="1"/>
    <x v="36"/>
    <n v="37.761425875875197"/>
    <n v="1"/>
    <x v="896"/>
    <x v="896"/>
    <s v="Credit Card"/>
    <n v="26.432998113112696"/>
    <n v="0.29999999999999849"/>
    <m/>
  </r>
  <r>
    <s v="INV1898"/>
    <x v="2"/>
    <x v="2"/>
    <n v="1146"/>
    <x v="1"/>
    <x v="1"/>
    <x v="4"/>
    <x v="34"/>
    <n v="102.131462288677"/>
    <n v="8"/>
    <x v="897"/>
    <x v="897"/>
    <s v="Credit Card"/>
    <n v="571.93618881659199"/>
    <n v="0.29999999999999905"/>
    <m/>
  </r>
  <r>
    <s v="INV1899"/>
    <x v="2"/>
    <x v="1"/>
    <n v="2189"/>
    <x v="0"/>
    <x v="1"/>
    <x v="4"/>
    <x v="10"/>
    <n v="290.91563561656301"/>
    <n v="7"/>
    <x v="898"/>
    <x v="898"/>
    <s v="E-Wallet"/>
    <n v="1425.4866145211572"/>
    <n v="0.30000000000000038"/>
    <m/>
  </r>
  <r>
    <s v="INV1900"/>
    <x v="1"/>
    <x v="0"/>
    <n v="2402"/>
    <x v="1"/>
    <x v="1"/>
    <x v="5"/>
    <x v="32"/>
    <n v="86.079460366474194"/>
    <n v="3"/>
    <x v="899"/>
    <x v="899"/>
    <s v="Cash"/>
    <n v="180.7668667695952"/>
    <n v="0.30000000000000077"/>
    <m/>
  </r>
  <r>
    <s v="INV1901"/>
    <x v="0"/>
    <x v="2"/>
    <n v="2162"/>
    <x v="0"/>
    <x v="1"/>
    <x v="1"/>
    <x v="83"/>
    <n v="100.78454206831201"/>
    <n v="6"/>
    <x v="900"/>
    <x v="900"/>
    <s v="E-Wallet"/>
    <n v="423.29507668691298"/>
    <n v="0.29999999999999916"/>
    <m/>
  </r>
  <r>
    <s v="INV1902"/>
    <x v="1"/>
    <x v="2"/>
    <n v="1628"/>
    <x v="1"/>
    <x v="1"/>
    <x v="1"/>
    <x v="60"/>
    <n v="252.584562279229"/>
    <n v="9"/>
    <x v="901"/>
    <x v="901"/>
    <s v="E-Wallet"/>
    <n v="1591.2827423591398"/>
    <n v="0.30000000000000093"/>
    <m/>
  </r>
  <r>
    <s v="INV1903"/>
    <x v="2"/>
    <x v="1"/>
    <n v="1298"/>
    <x v="1"/>
    <x v="0"/>
    <x v="1"/>
    <x v="89"/>
    <n v="24.562185190232"/>
    <n v="7"/>
    <x v="902"/>
    <x v="902"/>
    <s v="E-Wallet"/>
    <n v="120.35470743213679"/>
    <n v="0.3"/>
    <m/>
  </r>
  <r>
    <s v="INV1904"/>
    <x v="1"/>
    <x v="1"/>
    <n v="2299"/>
    <x v="1"/>
    <x v="0"/>
    <x v="5"/>
    <x v="26"/>
    <n v="144.73781895460101"/>
    <n v="3"/>
    <x v="903"/>
    <x v="903"/>
    <s v="E-Wallet"/>
    <n v="303.94941980466302"/>
    <n v="0.29999999999999954"/>
    <m/>
  </r>
  <r>
    <s v="INV1905"/>
    <x v="0"/>
    <x v="2"/>
    <n v="1788"/>
    <x v="0"/>
    <x v="0"/>
    <x v="4"/>
    <x v="80"/>
    <n v="120.088861690984"/>
    <n v="6"/>
    <x v="904"/>
    <x v="904"/>
    <s v="Cash"/>
    <n v="504.37321910213495"/>
    <n v="0.29999999999999893"/>
    <m/>
  </r>
  <r>
    <s v="INV1906"/>
    <x v="1"/>
    <x v="0"/>
    <n v="1849"/>
    <x v="0"/>
    <x v="0"/>
    <x v="1"/>
    <x v="21"/>
    <n v="101.810160373508"/>
    <n v="4"/>
    <x v="905"/>
    <x v="905"/>
    <s v="E-Wallet"/>
    <n v="285.06844904582499"/>
    <n v="0.29999999999999882"/>
    <m/>
  </r>
  <r>
    <s v="INV1907"/>
    <x v="2"/>
    <x v="1"/>
    <n v="1177"/>
    <x v="0"/>
    <x v="1"/>
    <x v="3"/>
    <x v="9"/>
    <n v="92.852882272981702"/>
    <n v="3"/>
    <x v="906"/>
    <x v="906"/>
    <s v="Credit Card"/>
    <n v="194.99105277326152"/>
    <n v="0.3"/>
    <m/>
  </r>
  <r>
    <s v="INV1908"/>
    <x v="0"/>
    <x v="1"/>
    <n v="1841"/>
    <x v="1"/>
    <x v="0"/>
    <x v="2"/>
    <x v="69"/>
    <n v="36.498490409518602"/>
    <n v="9"/>
    <x v="907"/>
    <x v="907"/>
    <s v="E-Wallet"/>
    <n v="229.94048957996762"/>
    <n v="0.3"/>
    <m/>
  </r>
  <r>
    <s v="INV1909"/>
    <x v="2"/>
    <x v="1"/>
    <n v="2377"/>
    <x v="1"/>
    <x v="1"/>
    <x v="2"/>
    <x v="78"/>
    <n v="101.29949051197799"/>
    <n v="2"/>
    <x v="908"/>
    <x v="908"/>
    <s v="E-Wallet"/>
    <n v="141.81928671676917"/>
    <n v="0.3000000000000001"/>
    <m/>
  </r>
  <r>
    <s v="INV1910"/>
    <x v="0"/>
    <x v="2"/>
    <n v="2177"/>
    <x v="0"/>
    <x v="1"/>
    <x v="0"/>
    <x v="72"/>
    <n v="22.485196787543799"/>
    <n v="1"/>
    <x v="909"/>
    <x v="909"/>
    <s v="Cash"/>
    <n v="15.73963775128064"/>
    <n v="0.30000000000000088"/>
    <m/>
  </r>
  <r>
    <s v="INV1911"/>
    <x v="0"/>
    <x v="2"/>
    <n v="2224"/>
    <x v="0"/>
    <x v="1"/>
    <x v="0"/>
    <x v="63"/>
    <n v="236.47952045688601"/>
    <n v="2"/>
    <x v="910"/>
    <x v="910"/>
    <s v="Cash"/>
    <n v="331.07132863964102"/>
    <n v="0.29999999999999871"/>
    <m/>
  </r>
  <r>
    <s v="INV1912"/>
    <x v="1"/>
    <x v="2"/>
    <n v="1877"/>
    <x v="0"/>
    <x v="0"/>
    <x v="5"/>
    <x v="87"/>
    <n v="125.486060247823"/>
    <n v="7"/>
    <x v="911"/>
    <x v="911"/>
    <s v="Credit Card"/>
    <n v="614.88169521433406"/>
    <n v="0.3000000000000001"/>
    <m/>
  </r>
  <r>
    <s v="INV1913"/>
    <x v="1"/>
    <x v="2"/>
    <n v="2138"/>
    <x v="0"/>
    <x v="1"/>
    <x v="5"/>
    <x v="27"/>
    <n v="138.732111372774"/>
    <n v="1"/>
    <x v="912"/>
    <x v="912"/>
    <s v="E-Wallet"/>
    <n v="97.112477960941703"/>
    <n v="0.30000000000000071"/>
    <m/>
  </r>
  <r>
    <s v="INV1914"/>
    <x v="2"/>
    <x v="0"/>
    <n v="1758"/>
    <x v="0"/>
    <x v="0"/>
    <x v="2"/>
    <x v="21"/>
    <n v="269.14243007053801"/>
    <n v="6"/>
    <x v="913"/>
    <x v="913"/>
    <s v="E-Wallet"/>
    <n v="1130.3982062962521"/>
    <n v="0.30000000000000127"/>
    <m/>
  </r>
  <r>
    <s v="INV1915"/>
    <x v="1"/>
    <x v="0"/>
    <n v="2091"/>
    <x v="0"/>
    <x v="0"/>
    <x v="3"/>
    <x v="61"/>
    <n v="200.83594531975399"/>
    <n v="7"/>
    <x v="914"/>
    <x v="914"/>
    <s v="E-Wallet"/>
    <n v="984.09613206678694"/>
    <n v="0.30000000000000143"/>
    <m/>
  </r>
  <r>
    <s v="INV1916"/>
    <x v="1"/>
    <x v="2"/>
    <n v="2468"/>
    <x v="1"/>
    <x v="1"/>
    <x v="4"/>
    <x v="82"/>
    <n v="12.3371399692147"/>
    <n v="9"/>
    <x v="915"/>
    <x v="915"/>
    <s v="Credit Card"/>
    <n v="77.723981806052208"/>
    <n v="0.30000000000000177"/>
    <m/>
  </r>
  <r>
    <s v="INV1917"/>
    <x v="0"/>
    <x v="0"/>
    <n v="1444"/>
    <x v="0"/>
    <x v="1"/>
    <x v="4"/>
    <x v="11"/>
    <n v="283.52069865877201"/>
    <n v="8"/>
    <x v="916"/>
    <x v="916"/>
    <s v="Cash"/>
    <n v="1587.7159124891261"/>
    <n v="0.3"/>
    <m/>
  </r>
  <r>
    <s v="INV1918"/>
    <x v="1"/>
    <x v="1"/>
    <n v="2349"/>
    <x v="1"/>
    <x v="1"/>
    <x v="5"/>
    <x v="4"/>
    <n v="78.771895133536205"/>
    <n v="6"/>
    <x v="917"/>
    <x v="917"/>
    <s v="Credit Card"/>
    <n v="330.84195956085193"/>
    <n v="0.29999999999999988"/>
    <m/>
  </r>
  <r>
    <s v="INV1919"/>
    <x v="0"/>
    <x v="1"/>
    <n v="1707"/>
    <x v="1"/>
    <x v="0"/>
    <x v="3"/>
    <x v="12"/>
    <n v="41.208113580358997"/>
    <n v="3"/>
    <x v="918"/>
    <x v="918"/>
    <s v="E-Wallet"/>
    <n v="86.537038518753903"/>
    <n v="0.3"/>
    <m/>
  </r>
  <r>
    <s v="INV1920"/>
    <x v="0"/>
    <x v="1"/>
    <n v="1601"/>
    <x v="0"/>
    <x v="1"/>
    <x v="5"/>
    <x v="51"/>
    <n v="232.75717173045501"/>
    <n v="8"/>
    <x v="919"/>
    <x v="919"/>
    <s v="Cash"/>
    <n v="1303.4401616905461"/>
    <n v="0.30000000000000104"/>
    <m/>
  </r>
  <r>
    <s v="INV1921"/>
    <x v="0"/>
    <x v="2"/>
    <n v="2382"/>
    <x v="0"/>
    <x v="0"/>
    <x v="4"/>
    <x v="36"/>
    <n v="155.138421601348"/>
    <n v="7"/>
    <x v="920"/>
    <x v="920"/>
    <s v="Cash"/>
    <n v="760.17826584659906"/>
    <n v="0.30000000000000182"/>
    <m/>
  </r>
  <r>
    <s v="INV1922"/>
    <x v="2"/>
    <x v="1"/>
    <n v="1144"/>
    <x v="1"/>
    <x v="1"/>
    <x v="5"/>
    <x v="39"/>
    <n v="135.79346414522499"/>
    <n v="3"/>
    <x v="921"/>
    <x v="921"/>
    <s v="Credit Card"/>
    <n v="285.16627470497298"/>
    <n v="0.29999999999999882"/>
    <m/>
  </r>
  <r>
    <s v="INV1923"/>
    <x v="2"/>
    <x v="0"/>
    <n v="1274"/>
    <x v="0"/>
    <x v="1"/>
    <x v="1"/>
    <x v="10"/>
    <n v="82.355893107995101"/>
    <n v="9"/>
    <x v="922"/>
    <x v="922"/>
    <s v="Cash"/>
    <n v="518.84212658036995"/>
    <n v="0.29999999999999893"/>
    <m/>
  </r>
  <r>
    <s v="INV1924"/>
    <x v="2"/>
    <x v="2"/>
    <n v="1508"/>
    <x v="0"/>
    <x v="0"/>
    <x v="5"/>
    <x v="28"/>
    <n v="168.766732060072"/>
    <n v="2"/>
    <x v="923"/>
    <x v="923"/>
    <s v="Cash"/>
    <n v="236.27342488410102"/>
    <n v="0.29999999999999938"/>
    <m/>
  </r>
  <r>
    <s v="INV1925"/>
    <x v="0"/>
    <x v="0"/>
    <n v="2202"/>
    <x v="1"/>
    <x v="0"/>
    <x v="2"/>
    <x v="74"/>
    <n v="89.571535508750301"/>
    <n v="3"/>
    <x v="924"/>
    <x v="924"/>
    <s v="E-Wallet"/>
    <n v="188.10022456837567"/>
    <n v="0.30000000000000004"/>
    <m/>
  </r>
  <r>
    <s v="INV1926"/>
    <x v="2"/>
    <x v="1"/>
    <n v="1752"/>
    <x v="1"/>
    <x v="0"/>
    <x v="5"/>
    <x v="21"/>
    <n v="271.45907153324902"/>
    <n v="2"/>
    <x v="925"/>
    <x v="925"/>
    <s v="E-Wallet"/>
    <n v="380.04270014655003"/>
    <n v="0.29999999999999871"/>
    <m/>
  </r>
  <r>
    <s v="INV1927"/>
    <x v="2"/>
    <x v="1"/>
    <n v="1476"/>
    <x v="1"/>
    <x v="0"/>
    <x v="2"/>
    <x v="86"/>
    <n v="72.409299122625896"/>
    <n v="1"/>
    <x v="926"/>
    <x v="926"/>
    <s v="Cash"/>
    <n v="50.686509385838193"/>
    <n v="0.2999999999999991"/>
    <m/>
  </r>
  <r>
    <s v="INV1928"/>
    <x v="1"/>
    <x v="1"/>
    <n v="2437"/>
    <x v="0"/>
    <x v="0"/>
    <x v="3"/>
    <x v="35"/>
    <n v="266.46299363216798"/>
    <n v="4"/>
    <x v="927"/>
    <x v="927"/>
    <s v="Cash"/>
    <n v="746.09638217006818"/>
    <n v="0.30000000000000082"/>
    <m/>
  </r>
  <r>
    <s v="INV1929"/>
    <x v="2"/>
    <x v="2"/>
    <n v="2176"/>
    <x v="1"/>
    <x v="0"/>
    <x v="4"/>
    <x v="32"/>
    <n v="172.227573460933"/>
    <n v="5"/>
    <x v="928"/>
    <x v="928"/>
    <s v="Credit Card"/>
    <n v="602.79650711326701"/>
    <n v="0.29999999999999988"/>
    <m/>
  </r>
  <r>
    <s v="INV1930"/>
    <x v="2"/>
    <x v="0"/>
    <n v="2127"/>
    <x v="0"/>
    <x v="1"/>
    <x v="0"/>
    <x v="80"/>
    <n v="250.26155882961899"/>
    <n v="6"/>
    <x v="929"/>
    <x v="929"/>
    <s v="Credit Card"/>
    <n v="1051.098547084395"/>
    <n v="0.30000000000000132"/>
    <m/>
  </r>
  <r>
    <s v="INV1931"/>
    <x v="0"/>
    <x v="2"/>
    <n v="2098"/>
    <x v="1"/>
    <x v="1"/>
    <x v="0"/>
    <x v="82"/>
    <n v="216.725338799676"/>
    <n v="5"/>
    <x v="930"/>
    <x v="930"/>
    <s v="Cash"/>
    <n v="758.538685798865"/>
    <n v="0.30000000000000093"/>
    <m/>
  </r>
  <r>
    <s v="INV1932"/>
    <x v="0"/>
    <x v="2"/>
    <n v="2151"/>
    <x v="1"/>
    <x v="0"/>
    <x v="4"/>
    <x v="76"/>
    <n v="212.04158231665701"/>
    <n v="1"/>
    <x v="931"/>
    <x v="931"/>
    <s v="E-Wallet"/>
    <n v="148.42910762165991"/>
    <n v="0.3"/>
    <m/>
  </r>
  <r>
    <s v="INV1933"/>
    <x v="0"/>
    <x v="1"/>
    <n v="1665"/>
    <x v="1"/>
    <x v="1"/>
    <x v="0"/>
    <x v="82"/>
    <n v="104.060284231566"/>
    <n v="3"/>
    <x v="932"/>
    <x v="932"/>
    <s v="Cash"/>
    <n v="218.52659688628847"/>
    <n v="0.30000000000000038"/>
    <m/>
  </r>
  <r>
    <s v="INV1934"/>
    <x v="0"/>
    <x v="2"/>
    <n v="1567"/>
    <x v="0"/>
    <x v="0"/>
    <x v="5"/>
    <x v="31"/>
    <n v="77.830110126939005"/>
    <n v="1"/>
    <x v="933"/>
    <x v="933"/>
    <s v="Cash"/>
    <n v="54.481077088857305"/>
    <n v="0.3"/>
    <m/>
  </r>
  <r>
    <s v="INV1935"/>
    <x v="0"/>
    <x v="2"/>
    <n v="2368"/>
    <x v="0"/>
    <x v="1"/>
    <x v="3"/>
    <x v="19"/>
    <n v="71.157006027428494"/>
    <n v="5"/>
    <x v="934"/>
    <x v="934"/>
    <s v="E-Wallet"/>
    <n v="249.04952109599998"/>
    <n v="0.29999999999999832"/>
    <m/>
  </r>
  <r>
    <s v="INV1936"/>
    <x v="0"/>
    <x v="1"/>
    <n v="1530"/>
    <x v="1"/>
    <x v="1"/>
    <x v="3"/>
    <x v="84"/>
    <n v="258.58558054728002"/>
    <n v="5"/>
    <x v="935"/>
    <x v="935"/>
    <s v="E-Wallet"/>
    <n v="905.04953191547906"/>
    <n v="0.30000000000000077"/>
    <m/>
  </r>
  <r>
    <s v="INV1937"/>
    <x v="2"/>
    <x v="2"/>
    <n v="1158"/>
    <x v="1"/>
    <x v="0"/>
    <x v="4"/>
    <x v="45"/>
    <n v="247.92377787511501"/>
    <n v="6"/>
    <x v="936"/>
    <x v="936"/>
    <s v="Credit Card"/>
    <n v="1041.2798670754821"/>
    <n v="0.30000000000000066"/>
    <m/>
  </r>
  <r>
    <s v="INV1938"/>
    <x v="0"/>
    <x v="1"/>
    <n v="2449"/>
    <x v="1"/>
    <x v="0"/>
    <x v="0"/>
    <x v="23"/>
    <n v="137.76632312356901"/>
    <n v="8"/>
    <x v="937"/>
    <x v="937"/>
    <s v="Credit Card"/>
    <n v="771.491409491985"/>
    <n v="0.30000000000000004"/>
    <m/>
  </r>
  <r>
    <s v="INV1939"/>
    <x v="0"/>
    <x v="1"/>
    <n v="1680"/>
    <x v="0"/>
    <x v="0"/>
    <x v="5"/>
    <x v="54"/>
    <n v="48.397337913971803"/>
    <n v="1"/>
    <x v="938"/>
    <x v="938"/>
    <s v="Credit Card"/>
    <n v="33.8781365397803"/>
    <n v="0.29999999999999921"/>
    <m/>
  </r>
  <r>
    <s v="INV1940"/>
    <x v="1"/>
    <x v="1"/>
    <n v="1022"/>
    <x v="1"/>
    <x v="1"/>
    <x v="3"/>
    <x v="63"/>
    <n v="120.853153073462"/>
    <n v="4"/>
    <x v="939"/>
    <x v="939"/>
    <s v="Credit Card"/>
    <n v="338.38882860569601"/>
    <n v="0.29999999999999938"/>
    <m/>
  </r>
  <r>
    <s v="INV1941"/>
    <x v="2"/>
    <x v="1"/>
    <n v="2070"/>
    <x v="0"/>
    <x v="0"/>
    <x v="3"/>
    <x v="81"/>
    <n v="189.609601699704"/>
    <n v="1"/>
    <x v="940"/>
    <x v="940"/>
    <s v="E-Wallet"/>
    <n v="132.72672118979278"/>
    <n v="0.3000000000000001"/>
    <m/>
  </r>
  <r>
    <s v="INV1942"/>
    <x v="2"/>
    <x v="2"/>
    <n v="1524"/>
    <x v="1"/>
    <x v="1"/>
    <x v="1"/>
    <x v="49"/>
    <n v="141.77691479918599"/>
    <n v="9"/>
    <x v="941"/>
    <x v="941"/>
    <s v="Cash"/>
    <n v="893.19456323486702"/>
    <n v="0.30000000000000154"/>
    <m/>
  </r>
  <r>
    <s v="INV1943"/>
    <x v="2"/>
    <x v="1"/>
    <n v="1728"/>
    <x v="1"/>
    <x v="0"/>
    <x v="1"/>
    <x v="56"/>
    <n v="236.25488786006801"/>
    <n v="7"/>
    <x v="942"/>
    <x v="942"/>
    <s v="Credit Card"/>
    <n v="1157.6489505143368"/>
    <n v="0.29999999999999949"/>
    <m/>
  </r>
  <r>
    <s v="INV1944"/>
    <x v="0"/>
    <x v="1"/>
    <n v="1143"/>
    <x v="1"/>
    <x v="1"/>
    <x v="3"/>
    <x v="62"/>
    <n v="299.310618452901"/>
    <n v="7"/>
    <x v="943"/>
    <x v="943"/>
    <s v="Credit Card"/>
    <n v="1466.622030419217"/>
    <n v="0.30000000000000004"/>
    <m/>
  </r>
  <r>
    <s v="INV1945"/>
    <x v="0"/>
    <x v="2"/>
    <n v="1667"/>
    <x v="1"/>
    <x v="1"/>
    <x v="4"/>
    <x v="25"/>
    <n v="65.428305650179993"/>
    <n v="5"/>
    <x v="944"/>
    <x v="944"/>
    <s v="E-Wallet"/>
    <n v="228.99906977562992"/>
    <n v="0.30000000000000032"/>
    <m/>
  </r>
  <r>
    <s v="INV1946"/>
    <x v="0"/>
    <x v="2"/>
    <n v="2442"/>
    <x v="1"/>
    <x v="0"/>
    <x v="2"/>
    <x v="89"/>
    <n v="143.298737701276"/>
    <n v="7"/>
    <x v="945"/>
    <x v="945"/>
    <s v="E-Wallet"/>
    <n v="702.16381473625097"/>
    <n v="0.3"/>
    <m/>
  </r>
  <r>
    <s v="INV1947"/>
    <x v="1"/>
    <x v="0"/>
    <n v="1680"/>
    <x v="1"/>
    <x v="1"/>
    <x v="2"/>
    <x v="41"/>
    <n v="134.98533155703799"/>
    <n v="2"/>
    <x v="946"/>
    <x v="946"/>
    <s v="Cash"/>
    <n v="188.97946417985298"/>
    <n v="0.30000000000000077"/>
    <m/>
  </r>
  <r>
    <s v="INV1948"/>
    <x v="0"/>
    <x v="2"/>
    <n v="1972"/>
    <x v="0"/>
    <x v="1"/>
    <x v="5"/>
    <x v="31"/>
    <n v="98.302834497195704"/>
    <n v="4"/>
    <x v="947"/>
    <x v="947"/>
    <s v="Cash"/>
    <n v="275.24793659214902"/>
    <n v="0.29999999999999766"/>
    <m/>
  </r>
  <r>
    <s v="INV1949"/>
    <x v="1"/>
    <x v="2"/>
    <n v="1798"/>
    <x v="1"/>
    <x v="0"/>
    <x v="3"/>
    <x v="81"/>
    <n v="67.4476998488839"/>
    <n v="7"/>
    <x v="948"/>
    <x v="948"/>
    <s v="E-Wallet"/>
    <n v="330.49372925953099"/>
    <n v="0.29999999999999977"/>
    <m/>
  </r>
  <r>
    <s v="INV1950"/>
    <x v="2"/>
    <x v="0"/>
    <n v="1084"/>
    <x v="0"/>
    <x v="1"/>
    <x v="3"/>
    <x v="7"/>
    <n v="29.0507137820011"/>
    <n v="3"/>
    <x v="949"/>
    <x v="949"/>
    <s v="Credit Card"/>
    <n v="61.006498942202505"/>
    <n v="0.29999999999999938"/>
    <m/>
  </r>
  <r>
    <s v="INV1951"/>
    <x v="0"/>
    <x v="2"/>
    <n v="1415"/>
    <x v="1"/>
    <x v="0"/>
    <x v="3"/>
    <x v="69"/>
    <n v="267.26460199487201"/>
    <n v="2"/>
    <x v="950"/>
    <x v="950"/>
    <s v="Credit Card"/>
    <n v="374.17044279282203"/>
    <n v="0.29999999999999905"/>
    <m/>
  </r>
  <r>
    <s v="INV1952"/>
    <x v="1"/>
    <x v="2"/>
    <n v="1693"/>
    <x v="1"/>
    <x v="0"/>
    <x v="4"/>
    <x v="54"/>
    <n v="131.756122329032"/>
    <n v="2"/>
    <x v="951"/>
    <x v="951"/>
    <s v="Credit Card"/>
    <n v="184.45857126064479"/>
    <n v="0.30000000000000004"/>
    <m/>
  </r>
  <r>
    <s v="INV1953"/>
    <x v="1"/>
    <x v="2"/>
    <n v="1481"/>
    <x v="0"/>
    <x v="0"/>
    <x v="1"/>
    <x v="5"/>
    <n v="154.099700365014"/>
    <n v="1"/>
    <x v="952"/>
    <x v="952"/>
    <s v="Cash"/>
    <n v="107.8697902555098"/>
    <n v="0.30000000000000004"/>
    <m/>
  </r>
  <r>
    <s v="INV1954"/>
    <x v="0"/>
    <x v="2"/>
    <n v="1455"/>
    <x v="1"/>
    <x v="0"/>
    <x v="3"/>
    <x v="29"/>
    <n v="275.91319397826499"/>
    <n v="5"/>
    <x v="953"/>
    <x v="953"/>
    <s v="Credit Card"/>
    <n v="965.69617892392205"/>
    <n v="0.30000000000000143"/>
    <m/>
  </r>
  <r>
    <s v="INV1955"/>
    <x v="2"/>
    <x v="0"/>
    <n v="1826"/>
    <x v="0"/>
    <x v="1"/>
    <x v="3"/>
    <x v="75"/>
    <n v="235.12423847962401"/>
    <n v="6"/>
    <x v="954"/>
    <x v="954"/>
    <s v="Credit Card"/>
    <n v="987.52180161441606"/>
    <n v="0.30000000000000143"/>
    <m/>
  </r>
  <r>
    <s v="INV1956"/>
    <x v="2"/>
    <x v="2"/>
    <n v="1296"/>
    <x v="0"/>
    <x v="1"/>
    <x v="0"/>
    <x v="46"/>
    <n v="47.8453665939834"/>
    <n v="6"/>
    <x v="955"/>
    <x v="955"/>
    <s v="E-Wallet"/>
    <n v="200.95053969472991"/>
    <n v="0.30000000000000038"/>
    <m/>
  </r>
  <r>
    <s v="INV1957"/>
    <x v="2"/>
    <x v="2"/>
    <n v="2135"/>
    <x v="1"/>
    <x v="1"/>
    <x v="4"/>
    <x v="24"/>
    <n v="173.97179060624501"/>
    <n v="9"/>
    <x v="956"/>
    <x v="956"/>
    <s v="Credit Card"/>
    <n v="1096.022280819338"/>
    <n v="0.30000000000000127"/>
    <m/>
  </r>
  <r>
    <s v="INV1958"/>
    <x v="1"/>
    <x v="0"/>
    <n v="2253"/>
    <x v="0"/>
    <x v="0"/>
    <x v="5"/>
    <x v="65"/>
    <n v="138.25316019067199"/>
    <n v="4"/>
    <x v="957"/>
    <x v="957"/>
    <s v="E-Wallet"/>
    <n v="387.108848533882"/>
    <n v="0.29999999999999921"/>
    <m/>
  </r>
  <r>
    <s v="INV1959"/>
    <x v="1"/>
    <x v="1"/>
    <n v="2119"/>
    <x v="0"/>
    <x v="1"/>
    <x v="3"/>
    <x v="67"/>
    <n v="241.19121104784099"/>
    <n v="1"/>
    <x v="958"/>
    <x v="958"/>
    <s v="Credit Card"/>
    <n v="168.83384773348871"/>
    <n v="0.29999999999999993"/>
    <m/>
  </r>
  <r>
    <s v="INV1960"/>
    <x v="1"/>
    <x v="0"/>
    <n v="1949"/>
    <x v="1"/>
    <x v="1"/>
    <x v="0"/>
    <x v="83"/>
    <n v="220.02743880746499"/>
    <n v="6"/>
    <x v="959"/>
    <x v="959"/>
    <s v="Cash"/>
    <n v="924.11524299135306"/>
    <n v="0.3"/>
    <m/>
  </r>
  <r>
    <s v="INV1961"/>
    <x v="1"/>
    <x v="1"/>
    <n v="1679"/>
    <x v="0"/>
    <x v="0"/>
    <x v="2"/>
    <x v="16"/>
    <n v="210.21765935421001"/>
    <n v="5"/>
    <x v="960"/>
    <x v="960"/>
    <s v="Credit Card"/>
    <n v="735.76180773973397"/>
    <n v="0.30000000000000093"/>
    <m/>
  </r>
  <r>
    <s v="INV1962"/>
    <x v="2"/>
    <x v="0"/>
    <n v="1377"/>
    <x v="1"/>
    <x v="0"/>
    <x v="5"/>
    <x v="19"/>
    <n v="108.75800228916999"/>
    <n v="6"/>
    <x v="961"/>
    <x v="961"/>
    <s v="Credit Card"/>
    <n v="456.78360961451403"/>
    <n v="0.3"/>
    <m/>
  </r>
  <r>
    <s v="INV1963"/>
    <x v="0"/>
    <x v="0"/>
    <n v="2179"/>
    <x v="1"/>
    <x v="1"/>
    <x v="3"/>
    <x v="22"/>
    <n v="243.43948181578301"/>
    <n v="3"/>
    <x v="962"/>
    <x v="962"/>
    <s v="E-Wallet"/>
    <n v="511.22291181314597"/>
    <n v="0.2999999999999996"/>
    <m/>
  </r>
  <r>
    <s v="INV1964"/>
    <x v="1"/>
    <x v="2"/>
    <n v="1420"/>
    <x v="1"/>
    <x v="0"/>
    <x v="3"/>
    <x v="11"/>
    <n v="25.193475722509699"/>
    <n v="2"/>
    <x v="963"/>
    <x v="963"/>
    <s v="E-Wallet"/>
    <n v="35.270866011513696"/>
    <n v="0.29999999999999905"/>
    <m/>
  </r>
  <r>
    <s v="INV1965"/>
    <x v="1"/>
    <x v="1"/>
    <n v="1104"/>
    <x v="1"/>
    <x v="0"/>
    <x v="0"/>
    <x v="10"/>
    <n v="56.291221415328501"/>
    <n v="6"/>
    <x v="964"/>
    <x v="964"/>
    <s v="E-Wallet"/>
    <n v="236.42312994438004"/>
    <n v="0.29999999999999905"/>
    <m/>
  </r>
  <r>
    <s v="INV1966"/>
    <x v="2"/>
    <x v="2"/>
    <n v="1329"/>
    <x v="0"/>
    <x v="0"/>
    <x v="4"/>
    <x v="17"/>
    <n v="107.33074916359401"/>
    <n v="1"/>
    <x v="965"/>
    <x v="965"/>
    <s v="Credit Card"/>
    <n v="75.13152441451571"/>
    <n v="0.30000000000000088"/>
    <m/>
  </r>
  <r>
    <s v="INV1967"/>
    <x v="0"/>
    <x v="1"/>
    <n v="1438"/>
    <x v="1"/>
    <x v="0"/>
    <x v="3"/>
    <x v="79"/>
    <n v="32.274157910091503"/>
    <n v="7"/>
    <x v="966"/>
    <x v="966"/>
    <s v="Credit Card"/>
    <n v="158.14337375944871"/>
    <n v="0.3"/>
    <m/>
  </r>
  <r>
    <s v="INV1968"/>
    <x v="0"/>
    <x v="0"/>
    <n v="2155"/>
    <x v="1"/>
    <x v="1"/>
    <x v="2"/>
    <x v="59"/>
    <n v="78.148340485060501"/>
    <n v="7"/>
    <x v="967"/>
    <x v="967"/>
    <s v="Cash"/>
    <n v="382.92686837679605"/>
    <n v="0.3000000000000001"/>
    <m/>
  </r>
  <r>
    <s v="INV1969"/>
    <x v="2"/>
    <x v="0"/>
    <n v="1381"/>
    <x v="0"/>
    <x v="0"/>
    <x v="3"/>
    <x v="32"/>
    <n v="250.74378506939601"/>
    <n v="7"/>
    <x v="968"/>
    <x v="968"/>
    <s v="Credit Card"/>
    <n v="1228.6445468400379"/>
    <n v="0.30000000000000054"/>
    <m/>
  </r>
  <r>
    <s v="INV1970"/>
    <x v="2"/>
    <x v="1"/>
    <n v="1137"/>
    <x v="1"/>
    <x v="0"/>
    <x v="2"/>
    <x v="51"/>
    <n v="284.99294595912301"/>
    <n v="1"/>
    <x v="969"/>
    <x v="969"/>
    <s v="Cash"/>
    <n v="199.49506217138611"/>
    <n v="0.3"/>
    <m/>
  </r>
  <r>
    <s v="INV1971"/>
    <x v="0"/>
    <x v="2"/>
    <n v="1942"/>
    <x v="1"/>
    <x v="0"/>
    <x v="5"/>
    <x v="44"/>
    <n v="98.334683174515206"/>
    <n v="4"/>
    <x v="970"/>
    <x v="970"/>
    <s v="E-Wallet"/>
    <n v="275.33711288864203"/>
    <n v="0.3"/>
    <m/>
  </r>
  <r>
    <s v="INV1972"/>
    <x v="1"/>
    <x v="2"/>
    <n v="1842"/>
    <x v="0"/>
    <x v="0"/>
    <x v="5"/>
    <x v="66"/>
    <n v="86.709583156763003"/>
    <n v="7"/>
    <x v="971"/>
    <x v="971"/>
    <s v="E-Wallet"/>
    <n v="424.87695746813893"/>
    <n v="0.29999999999999954"/>
    <m/>
  </r>
  <r>
    <s v="INV1973"/>
    <x v="0"/>
    <x v="2"/>
    <n v="1269"/>
    <x v="0"/>
    <x v="0"/>
    <x v="1"/>
    <x v="18"/>
    <n v="91.168869151463795"/>
    <n v="9"/>
    <x v="972"/>
    <x v="972"/>
    <s v="E-Wallet"/>
    <n v="574.36387565422194"/>
    <n v="0.29999999999999977"/>
    <m/>
  </r>
  <r>
    <s v="INV1974"/>
    <x v="2"/>
    <x v="2"/>
    <n v="1395"/>
    <x v="0"/>
    <x v="0"/>
    <x v="1"/>
    <x v="15"/>
    <n v="90.538535331744697"/>
    <n v="5"/>
    <x v="973"/>
    <x v="973"/>
    <s v="Cash"/>
    <n v="316.88487366110598"/>
    <n v="0.30000000000000021"/>
    <m/>
  </r>
  <r>
    <s v="INV1975"/>
    <x v="1"/>
    <x v="0"/>
    <n v="1912"/>
    <x v="0"/>
    <x v="0"/>
    <x v="2"/>
    <x v="57"/>
    <n v="20.419752833932101"/>
    <n v="2"/>
    <x v="974"/>
    <x v="974"/>
    <s v="Credit Card"/>
    <n v="28.587653967505002"/>
    <n v="0.30000000000000021"/>
    <m/>
  </r>
  <r>
    <s v="INV1976"/>
    <x v="1"/>
    <x v="0"/>
    <n v="1463"/>
    <x v="0"/>
    <x v="0"/>
    <x v="4"/>
    <x v="64"/>
    <n v="278.80574043602098"/>
    <n v="7"/>
    <x v="975"/>
    <x v="975"/>
    <s v="E-Wallet"/>
    <n v="1366.1481281364959"/>
    <n v="0.3000000000000011"/>
    <m/>
  </r>
  <r>
    <s v="INV1977"/>
    <x v="2"/>
    <x v="0"/>
    <n v="1449"/>
    <x v="0"/>
    <x v="1"/>
    <x v="3"/>
    <x v="5"/>
    <n v="71.9724610553952"/>
    <n v="1"/>
    <x v="976"/>
    <x v="976"/>
    <s v="Credit Card"/>
    <n v="50.380722738776697"/>
    <n v="0.29999999999999921"/>
    <m/>
  </r>
  <r>
    <s v="INV1978"/>
    <x v="2"/>
    <x v="0"/>
    <n v="2354"/>
    <x v="0"/>
    <x v="0"/>
    <x v="3"/>
    <x v="52"/>
    <n v="131.801181483607"/>
    <n v="7"/>
    <x v="977"/>
    <x v="977"/>
    <s v="Credit Card"/>
    <n v="645.82578926967597"/>
    <n v="0.29999999999999971"/>
    <m/>
  </r>
  <r>
    <s v="INV1979"/>
    <x v="2"/>
    <x v="0"/>
    <n v="2276"/>
    <x v="1"/>
    <x v="1"/>
    <x v="1"/>
    <x v="59"/>
    <n v="12.8091959948806"/>
    <n v="6"/>
    <x v="978"/>
    <x v="978"/>
    <s v="E-Wallet"/>
    <n v="53.798623178498701"/>
    <n v="0.29999999999999954"/>
    <m/>
  </r>
  <r>
    <s v="INV1980"/>
    <x v="0"/>
    <x v="2"/>
    <n v="2308"/>
    <x v="0"/>
    <x v="0"/>
    <x v="2"/>
    <x v="17"/>
    <n v="258.80697636536598"/>
    <n v="7"/>
    <x v="979"/>
    <x v="979"/>
    <s v="Cash"/>
    <n v="1268.1541841902908"/>
    <n v="0.3000000000000006"/>
    <m/>
  </r>
  <r>
    <s v="INV1981"/>
    <x v="0"/>
    <x v="2"/>
    <n v="2297"/>
    <x v="0"/>
    <x v="0"/>
    <x v="3"/>
    <x v="31"/>
    <n v="222.03562989192599"/>
    <n v="3"/>
    <x v="980"/>
    <x v="980"/>
    <s v="Credit Card"/>
    <n v="466.274822773045"/>
    <n v="0.29999999999999938"/>
    <m/>
  </r>
  <r>
    <s v="INV1982"/>
    <x v="1"/>
    <x v="2"/>
    <n v="1019"/>
    <x v="0"/>
    <x v="0"/>
    <x v="3"/>
    <x v="79"/>
    <n v="284.55925020037301"/>
    <n v="3"/>
    <x v="981"/>
    <x v="981"/>
    <s v="E-Wallet"/>
    <n v="597.57442542078502"/>
    <n v="0.29999999999999966"/>
    <m/>
  </r>
  <r>
    <s v="INV1983"/>
    <x v="2"/>
    <x v="2"/>
    <n v="1238"/>
    <x v="1"/>
    <x v="0"/>
    <x v="4"/>
    <x v="24"/>
    <n v="236.66848896695501"/>
    <n v="7"/>
    <x v="982"/>
    <x v="982"/>
    <s v="Credit Card"/>
    <n v="1159.675595938083"/>
    <n v="0.30000000000000004"/>
    <m/>
  </r>
  <r>
    <s v="INV1984"/>
    <x v="1"/>
    <x v="0"/>
    <n v="2293"/>
    <x v="1"/>
    <x v="1"/>
    <x v="0"/>
    <x v="59"/>
    <n v="100.974888495098"/>
    <n v="2"/>
    <x v="983"/>
    <x v="983"/>
    <s v="Credit Card"/>
    <n v="141.3648438931377"/>
    <n v="0.30000000000000093"/>
    <m/>
  </r>
  <r>
    <s v="INV1985"/>
    <x v="1"/>
    <x v="0"/>
    <n v="1417"/>
    <x v="0"/>
    <x v="0"/>
    <x v="1"/>
    <x v="13"/>
    <n v="81.883274031242806"/>
    <n v="1"/>
    <x v="984"/>
    <x v="984"/>
    <s v="Credit Card"/>
    <n v="57.318291821870005"/>
    <n v="0.29999999999999949"/>
    <m/>
  </r>
  <r>
    <s v="INV1986"/>
    <x v="1"/>
    <x v="0"/>
    <n v="2333"/>
    <x v="0"/>
    <x v="0"/>
    <x v="1"/>
    <x v="57"/>
    <n v="212.33772919045401"/>
    <n v="9"/>
    <x v="985"/>
    <x v="985"/>
    <s v="Credit Card"/>
    <n v="1337.7276938998621"/>
    <n v="0.30000000000000049"/>
    <m/>
  </r>
  <r>
    <s v="INV1987"/>
    <x v="1"/>
    <x v="1"/>
    <n v="2054"/>
    <x v="0"/>
    <x v="1"/>
    <x v="0"/>
    <x v="29"/>
    <n v="115.592704753044"/>
    <n v="9"/>
    <x v="986"/>
    <x v="986"/>
    <s v="Credit Card"/>
    <n v="728.23403994417902"/>
    <n v="0.30000000000000099"/>
    <m/>
  </r>
  <r>
    <s v="INV1988"/>
    <x v="2"/>
    <x v="2"/>
    <n v="2127"/>
    <x v="1"/>
    <x v="1"/>
    <x v="3"/>
    <x v="55"/>
    <n v="174.20235456825799"/>
    <n v="7"/>
    <x v="987"/>
    <x v="987"/>
    <s v="Cash"/>
    <n v="853.59153738446707"/>
    <n v="0.29999999999999993"/>
    <m/>
  </r>
  <r>
    <s v="INV1989"/>
    <x v="1"/>
    <x v="2"/>
    <n v="1185"/>
    <x v="1"/>
    <x v="0"/>
    <x v="4"/>
    <x v="37"/>
    <n v="11.8146665976763"/>
    <n v="7"/>
    <x v="988"/>
    <x v="988"/>
    <s v="Cash"/>
    <n v="57.891866328614192"/>
    <n v="0.29999999999999943"/>
    <m/>
  </r>
  <r>
    <s v="INV1990"/>
    <x v="2"/>
    <x v="0"/>
    <n v="2151"/>
    <x v="0"/>
    <x v="1"/>
    <x v="4"/>
    <x v="7"/>
    <n v="27.946853487337801"/>
    <n v="3"/>
    <x v="989"/>
    <x v="989"/>
    <s v="E-Wallet"/>
    <n v="58.688392323409403"/>
    <n v="0.29999999999999971"/>
    <m/>
  </r>
  <r>
    <s v="INV1991"/>
    <x v="2"/>
    <x v="2"/>
    <n v="2233"/>
    <x v="1"/>
    <x v="1"/>
    <x v="1"/>
    <x v="67"/>
    <n v="165.256702942678"/>
    <n v="2"/>
    <x v="990"/>
    <x v="990"/>
    <s v="Cash"/>
    <n v="231.35938411974968"/>
    <n v="0.3000000000000006"/>
    <m/>
  </r>
  <r>
    <s v="INV1992"/>
    <x v="0"/>
    <x v="2"/>
    <n v="2437"/>
    <x v="0"/>
    <x v="1"/>
    <x v="4"/>
    <x v="6"/>
    <n v="174.160777469967"/>
    <n v="7"/>
    <x v="991"/>
    <x v="991"/>
    <s v="Cash"/>
    <n v="853.38780960283805"/>
    <n v="0.30000000000000082"/>
    <m/>
  </r>
  <r>
    <s v="INV1993"/>
    <x v="2"/>
    <x v="0"/>
    <n v="2304"/>
    <x v="1"/>
    <x v="0"/>
    <x v="5"/>
    <x v="86"/>
    <n v="227.92135389320899"/>
    <n v="9"/>
    <x v="992"/>
    <x v="992"/>
    <s v="Cash"/>
    <n v="1435.9045295272149"/>
    <n v="0.30000000000000049"/>
    <m/>
  </r>
  <r>
    <s v="INV1994"/>
    <x v="0"/>
    <x v="1"/>
    <n v="1252"/>
    <x v="1"/>
    <x v="0"/>
    <x v="0"/>
    <x v="50"/>
    <n v="48.269942690948902"/>
    <n v="1"/>
    <x v="993"/>
    <x v="993"/>
    <s v="Credit Card"/>
    <n v="33.788959883664305"/>
    <n v="0.29999999999999849"/>
    <m/>
  </r>
  <r>
    <s v="INV1995"/>
    <x v="2"/>
    <x v="1"/>
    <n v="1018"/>
    <x v="0"/>
    <x v="0"/>
    <x v="3"/>
    <x v="60"/>
    <n v="158.82309428946499"/>
    <n v="4"/>
    <x v="994"/>
    <x v="994"/>
    <s v="Credit Card"/>
    <n v="444.70466401050402"/>
    <n v="0.30000000000000016"/>
    <m/>
  </r>
  <r>
    <s v="INV1996"/>
    <x v="2"/>
    <x v="1"/>
    <n v="1711"/>
    <x v="0"/>
    <x v="1"/>
    <x v="5"/>
    <x v="7"/>
    <n v="66.389816885189703"/>
    <n v="6"/>
    <x v="995"/>
    <x v="995"/>
    <s v="E-Wallet"/>
    <n v="278.837230917797"/>
    <n v="0.29999999999999899"/>
    <m/>
  </r>
  <r>
    <s v="INV1997"/>
    <x v="2"/>
    <x v="0"/>
    <n v="2159"/>
    <x v="0"/>
    <x v="0"/>
    <x v="0"/>
    <x v="43"/>
    <n v="37.026874673181403"/>
    <n v="7"/>
    <x v="996"/>
    <x v="996"/>
    <s v="E-Wallet"/>
    <n v="181.431685898589"/>
    <n v="0.30000000000000004"/>
    <m/>
  </r>
  <r>
    <s v="INV1998"/>
    <x v="0"/>
    <x v="2"/>
    <n v="1222"/>
    <x v="0"/>
    <x v="1"/>
    <x v="2"/>
    <x v="80"/>
    <n v="129.04378027755999"/>
    <n v="7"/>
    <x v="997"/>
    <x v="997"/>
    <s v="E-Wallet"/>
    <n v="632.31452336004804"/>
    <n v="0.29999999999999943"/>
    <m/>
  </r>
  <r>
    <s v="INV1999"/>
    <x v="0"/>
    <x v="0"/>
    <n v="1002"/>
    <x v="1"/>
    <x v="0"/>
    <x v="1"/>
    <x v="18"/>
    <n v="57.367627945826598"/>
    <n v="2"/>
    <x v="998"/>
    <x v="998"/>
    <s v="Credit Card"/>
    <n v="80.314679124157095"/>
    <n v="0.30000000000000004"/>
    <m/>
  </r>
  <r>
    <s v="INV2000"/>
    <x v="1"/>
    <x v="0"/>
    <n v="2259"/>
    <x v="1"/>
    <x v="0"/>
    <x v="4"/>
    <x v="27"/>
    <n v="74.316773675772396"/>
    <n v="4"/>
    <x v="999"/>
    <x v="999"/>
    <s v="Cash"/>
    <n v="208.08696629216223"/>
    <n v="0.30000000000000027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9CC808-171A-4E5E-A698-9DAE59170003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A11:F18" firstHeaderRow="0" firstDataRow="1" firstDataCol="2"/>
  <pivotFields count="18">
    <pivotField compact="0" showAll="0"/>
    <pivotField compact="0" showAll="0"/>
    <pivotField compact="0" showAll="0"/>
    <pivotField compact="0" showAll="0"/>
    <pivotField axis="axisRow" compact="0" showAll="0">
      <items count="3">
        <item x="1"/>
        <item x="0"/>
        <item t="default"/>
      </items>
    </pivotField>
    <pivotField axis="axisRow" dataField="1" compact="0" showAll="0">
      <items count="3">
        <item x="1"/>
        <item x="0"/>
        <item t="default"/>
      </items>
    </pivotField>
    <pivotField compact="0" showAll="0"/>
    <pivotField compact="0" numFmtId="14" showAll="0">
      <items count="91">
        <item x="68"/>
        <item x="19"/>
        <item x="60"/>
        <item x="50"/>
        <item x="89"/>
        <item x="70"/>
        <item x="64"/>
        <item x="85"/>
        <item x="37"/>
        <item x="69"/>
        <item x="80"/>
        <item x="74"/>
        <item x="22"/>
        <item x="48"/>
        <item x="13"/>
        <item x="65"/>
        <item x="35"/>
        <item x="41"/>
        <item x="55"/>
        <item x="51"/>
        <item x="0"/>
        <item x="25"/>
        <item x="76"/>
        <item x="44"/>
        <item x="28"/>
        <item x="57"/>
        <item x="15"/>
        <item x="16"/>
        <item x="43"/>
        <item x="73"/>
        <item x="87"/>
        <item x="12"/>
        <item x="62"/>
        <item x="78"/>
        <item x="83"/>
        <item x="20"/>
        <item x="81"/>
        <item x="31"/>
        <item x="86"/>
        <item x="34"/>
        <item x="11"/>
        <item x="5"/>
        <item x="30"/>
        <item x="75"/>
        <item x="32"/>
        <item x="58"/>
        <item x="52"/>
        <item x="29"/>
        <item x="49"/>
        <item x="39"/>
        <item x="6"/>
        <item x="56"/>
        <item x="59"/>
        <item x="67"/>
        <item x="42"/>
        <item x="9"/>
        <item x="36"/>
        <item x="18"/>
        <item x="17"/>
        <item x="1"/>
        <item x="66"/>
        <item x="14"/>
        <item x="4"/>
        <item x="7"/>
        <item x="88"/>
        <item x="61"/>
        <item x="72"/>
        <item x="38"/>
        <item x="79"/>
        <item x="82"/>
        <item x="21"/>
        <item x="63"/>
        <item x="47"/>
        <item x="3"/>
        <item x="27"/>
        <item x="8"/>
        <item x="53"/>
        <item x="71"/>
        <item x="54"/>
        <item x="10"/>
        <item x="2"/>
        <item x="46"/>
        <item x="77"/>
        <item x="45"/>
        <item x="40"/>
        <item x="84"/>
        <item x="24"/>
        <item x="33"/>
        <item x="23"/>
        <item x="26"/>
        <item t="default"/>
      </items>
    </pivotField>
    <pivotField compact="0" showAll="0"/>
    <pivotField compact="0" showAll="0"/>
    <pivotField dataField="1" compact="0" showAll="0">
      <items count="1001">
        <item x="183"/>
        <item x="573"/>
        <item x="320"/>
        <item x="909"/>
        <item x="99"/>
        <item x="840"/>
        <item x="593"/>
        <item x="92"/>
        <item x="836"/>
        <item x="856"/>
        <item x="660"/>
        <item x="827"/>
        <item x="806"/>
        <item x="547"/>
        <item x="896"/>
        <item x="974"/>
        <item x="433"/>
        <item x="780"/>
        <item x="483"/>
        <item x="338"/>
        <item x="993"/>
        <item x="938"/>
        <item x="963"/>
        <item x="487"/>
        <item x="839"/>
        <item x="752"/>
        <item x="305"/>
        <item x="804"/>
        <item x="743"/>
        <item x="587"/>
        <item x="673"/>
        <item x="97"/>
        <item x="976"/>
        <item x="926"/>
        <item x="137"/>
        <item x="893"/>
        <item x="814"/>
        <item x="978"/>
        <item x="507"/>
        <item x="933"/>
        <item x="28"/>
        <item x="793"/>
        <item x="510"/>
        <item x="984"/>
        <item x="988"/>
        <item x="302"/>
        <item x="989"/>
        <item x="199"/>
        <item x="949"/>
        <item x="94"/>
        <item x="563"/>
        <item x="213"/>
        <item x="733"/>
        <item x="588"/>
        <item x="443"/>
        <item x="328"/>
        <item x="296"/>
        <item x="424"/>
        <item x="55"/>
        <item x="822"/>
        <item x="226"/>
        <item x="103"/>
        <item x="346"/>
        <item x="860"/>
        <item x="878"/>
        <item x="437"/>
        <item x="187"/>
        <item x="965"/>
        <item x="583"/>
        <item x="915"/>
        <item x="219"/>
        <item x="329"/>
        <item x="353"/>
        <item x="336"/>
        <item x="390"/>
        <item x="998"/>
        <item x="805"/>
        <item x="469"/>
        <item x="791"/>
        <item x="85"/>
        <item x="212"/>
        <item x="854"/>
        <item x="489"/>
        <item x="918"/>
        <item x="530"/>
        <item x="446"/>
        <item x="646"/>
        <item x="27"/>
        <item x="138"/>
        <item x="759"/>
        <item x="539"/>
        <item x="257"/>
        <item x="582"/>
        <item x="436"/>
        <item x="719"/>
        <item x="78"/>
        <item x="356"/>
        <item x="651"/>
        <item x="602"/>
        <item x="38"/>
        <item x="679"/>
        <item x="482"/>
        <item x="853"/>
        <item x="638"/>
        <item x="912"/>
        <item x="321"/>
        <item x="749"/>
        <item x="549"/>
        <item x="376"/>
        <item x="295"/>
        <item x="877"/>
        <item x="737"/>
        <item x="552"/>
        <item x="393"/>
        <item x="689"/>
        <item x="81"/>
        <item x="133"/>
        <item x="890"/>
        <item x="538"/>
        <item x="267"/>
        <item x="383"/>
        <item x="808"/>
        <item x="322"/>
        <item x="675"/>
        <item x="952"/>
        <item x="715"/>
        <item x="214"/>
        <item x="0"/>
        <item x="697"/>
        <item x="66"/>
        <item x="868"/>
        <item x="871"/>
        <item x="58"/>
        <item x="337"/>
        <item x="165"/>
        <item x="251"/>
        <item x="25"/>
        <item x="771"/>
        <item x="172"/>
        <item x="135"/>
        <item x="107"/>
        <item x="313"/>
        <item x="800"/>
        <item x="841"/>
        <item x="902"/>
        <item x="590"/>
        <item x="86"/>
        <item x="846"/>
        <item x="545"/>
        <item x="626"/>
        <item x="453"/>
        <item x="490"/>
        <item x="244"/>
        <item x="180"/>
        <item x="617"/>
        <item x="74"/>
        <item x="757"/>
        <item x="695"/>
        <item x="863"/>
        <item x="940"/>
        <item x="561"/>
        <item x="803"/>
        <item x="770"/>
        <item x="716"/>
        <item x="169"/>
        <item x="449"/>
        <item x="440"/>
        <item x="308"/>
        <item x="983"/>
        <item x="908"/>
        <item x="706"/>
        <item x="520"/>
        <item x="506"/>
        <item x="474"/>
        <item x="130"/>
        <item x="781"/>
        <item x="64"/>
        <item x="789"/>
        <item x="52"/>
        <item x="42"/>
        <item x="477"/>
        <item x="931"/>
        <item x="190"/>
        <item x="709"/>
        <item x="603"/>
        <item x="864"/>
        <item x="184"/>
        <item x="129"/>
        <item x="19"/>
        <item x="84"/>
        <item x="248"/>
        <item x="325"/>
        <item x="895"/>
        <item x="41"/>
        <item x="579"/>
        <item x="687"/>
        <item x="887"/>
        <item x="351"/>
        <item x="541"/>
        <item x="867"/>
        <item x="503"/>
        <item x="311"/>
        <item x="966"/>
        <item x="136"/>
        <item x="501"/>
        <item x="345"/>
        <item x="100"/>
        <item x="527"/>
        <item x="145"/>
        <item x="407"/>
        <item x="761"/>
        <item x="668"/>
        <item x="210"/>
        <item x="77"/>
        <item x="331"/>
        <item x="448"/>
        <item x="958"/>
        <item x="601"/>
        <item x="374"/>
        <item x="753"/>
        <item x="389"/>
        <item x="639"/>
        <item x="205"/>
        <item x="899"/>
        <item x="282"/>
        <item x="996"/>
        <item x="825"/>
        <item x="692"/>
        <item x="751"/>
        <item x="368"/>
        <item x="217"/>
        <item x="62"/>
        <item x="604"/>
        <item x="536"/>
        <item x="414"/>
        <item x="30"/>
        <item x="711"/>
        <item x="252"/>
        <item x="794"/>
        <item x="175"/>
        <item x="293"/>
        <item x="951"/>
        <item x="497"/>
        <item x="7"/>
        <item x="158"/>
        <item x="924"/>
        <item x="33"/>
        <item x="946"/>
        <item x="378"/>
        <item x="880"/>
        <item x="681"/>
        <item x="754"/>
        <item x="294"/>
        <item x="461"/>
        <item x="882"/>
        <item x="519"/>
        <item x="200"/>
        <item x="906"/>
        <item x="704"/>
        <item x="667"/>
        <item x="444"/>
        <item x="969"/>
        <item x="955"/>
        <item x="720"/>
        <item x="386"/>
        <item x="208"/>
        <item x="557"/>
        <item x="829"/>
        <item x="256"/>
        <item x="533"/>
        <item x="155"/>
        <item x="999"/>
        <item x="434"/>
        <item x="832"/>
        <item x="11"/>
        <item x="16"/>
        <item x="126"/>
        <item x="462"/>
        <item x="428"/>
        <item x="119"/>
        <item x="247"/>
        <item x="513"/>
        <item x="932"/>
        <item x="366"/>
        <item x="398"/>
        <item x="819"/>
        <item x="944"/>
        <item x="543"/>
        <item x="907"/>
        <item x="91"/>
        <item x="990"/>
        <item x="923"/>
        <item x="59"/>
        <item x="964"/>
        <item x="341"/>
        <item x="71"/>
        <item x="701"/>
        <item x="26"/>
        <item x="546"/>
        <item x="581"/>
        <item x="744"/>
        <item x="564"/>
        <item x="649"/>
        <item x="250"/>
        <item x="635"/>
        <item x="848"/>
        <item x="934"/>
        <item x="484"/>
        <item x="89"/>
        <item x="365"/>
        <item x="43"/>
        <item x="142"/>
        <item x="143"/>
        <item x="150"/>
        <item x="858"/>
        <item x="578"/>
        <item x="310"/>
        <item x="471"/>
        <item x="812"/>
        <item x="567"/>
        <item x="156"/>
        <item x="758"/>
        <item x="101"/>
        <item x="227"/>
        <item x="618"/>
        <item x="548"/>
        <item x="785"/>
        <item x="31"/>
        <item x="275"/>
        <item x="241"/>
        <item x="826"/>
        <item x="83"/>
        <item x="427"/>
        <item x="947"/>
        <item x="47"/>
        <item x="970"/>
        <item x="600"/>
        <item x="873"/>
        <item x="995"/>
        <item x="820"/>
        <item x="20"/>
        <item x="905"/>
        <item x="921"/>
        <item x="128"/>
        <item x="215"/>
        <item x="409"/>
        <item x="734"/>
        <item x="537"/>
        <item x="451"/>
        <item x="861"/>
        <item x="73"/>
        <item x="558"/>
        <item x="630"/>
        <item x="159"/>
        <item x="75"/>
        <item x="833"/>
        <item x="589"/>
        <item x="72"/>
        <item x="95"/>
        <item x="354"/>
        <item x="491"/>
        <item x="39"/>
        <item x="505"/>
        <item x="228"/>
        <item x="464"/>
        <item x="633"/>
        <item x="636"/>
        <item x="113"/>
        <item x="903"/>
        <item x="292"/>
        <item x="765"/>
        <item x="441"/>
        <item x="195"/>
        <item x="182"/>
        <item x="790"/>
        <item x="223"/>
        <item x="842"/>
        <item x="551"/>
        <item x="892"/>
        <item x="323"/>
        <item x="634"/>
        <item x="784"/>
        <item x="756"/>
        <item x="343"/>
        <item x="783"/>
        <item x="69"/>
        <item x="116"/>
        <item x="452"/>
        <item x="301"/>
        <item x="973"/>
        <item x="37"/>
        <item x="397"/>
        <item x="844"/>
        <item x="768"/>
        <item x="664"/>
        <item x="318"/>
        <item x="591"/>
        <item x="173"/>
        <item x="391"/>
        <item x="948"/>
        <item x="917"/>
        <item x="910"/>
        <item x="851"/>
        <item x="326"/>
        <item x="778"/>
        <item x="342"/>
        <item x="939"/>
        <item x="220"/>
        <item x="93"/>
        <item x="574"/>
        <item x="594"/>
        <item x="120"/>
        <item x="349"/>
        <item x="384"/>
        <item x="36"/>
        <item x="347"/>
        <item x="307"/>
        <item x="297"/>
        <item x="352"/>
        <item x="608"/>
        <item x="568"/>
        <item x="5"/>
        <item x="885"/>
        <item x="739"/>
        <item x="565"/>
        <item x="152"/>
        <item x="801"/>
        <item x="435"/>
        <item x="312"/>
        <item x="188"/>
        <item x="627"/>
        <item x="766"/>
        <item x="261"/>
        <item x="286"/>
        <item x="776"/>
        <item x="620"/>
        <item x="288"/>
        <item x="950"/>
        <item x="607"/>
        <item x="118"/>
        <item x="246"/>
        <item x="63"/>
        <item x="498"/>
        <item x="837"/>
        <item x="874"/>
        <item x="642"/>
        <item x="925"/>
        <item x="387"/>
        <item x="748"/>
        <item x="179"/>
        <item x="504"/>
        <item x="967"/>
        <item x="879"/>
        <item x="134"/>
        <item x="306"/>
        <item x="185"/>
        <item x="512"/>
        <item x="845"/>
        <item x="750"/>
        <item x="722"/>
        <item x="263"/>
        <item x="957"/>
        <item x="201"/>
        <item x="472"/>
        <item x="67"/>
        <item x="745"/>
        <item x="888"/>
        <item x="96"/>
        <item x="555"/>
        <item x="847"/>
        <item x="700"/>
        <item x="486"/>
        <item x="782"/>
        <item x="652"/>
        <item x="769"/>
        <item x="224"/>
        <item x="764"/>
        <item x="405"/>
        <item x="473"/>
        <item x="521"/>
        <item x="677"/>
        <item x="203"/>
        <item x="571"/>
        <item x="394"/>
        <item x="674"/>
        <item x="755"/>
        <item x="317"/>
        <item x="51"/>
        <item x="699"/>
        <item x="125"/>
        <item x="718"/>
        <item x="6"/>
        <item x="596"/>
        <item x="572"/>
        <item x="599"/>
        <item x="779"/>
        <item x="900"/>
        <item x="971"/>
        <item x="586"/>
        <item x="364"/>
        <item x="696"/>
        <item x="149"/>
        <item x="115"/>
        <item x="728"/>
        <item x="852"/>
        <item x="653"/>
        <item x="298"/>
        <item x="869"/>
        <item x="665"/>
        <item x="694"/>
        <item x="994"/>
        <item x="269"/>
        <item x="713"/>
        <item x="146"/>
        <item x="181"/>
        <item x="253"/>
        <item x="303"/>
        <item x="417"/>
        <item x="363"/>
        <item x="445"/>
        <item x="402"/>
        <item x="961"/>
        <item x="399"/>
        <item x="230"/>
        <item x="2"/>
        <item x="730"/>
        <item x="712"/>
        <item x="109"/>
        <item x="141"/>
        <item x="980"/>
        <item x="239"/>
        <item x="724"/>
        <item x="729"/>
        <item x="584"/>
        <item x="379"/>
        <item x="767"/>
        <item x="412"/>
        <item x="889"/>
        <item x="258"/>
        <item x="272"/>
        <item x="798"/>
        <item x="648"/>
        <item x="249"/>
        <item x="426"/>
        <item x="56"/>
        <item x="690"/>
        <item x="327"/>
        <item x="870"/>
        <item x="87"/>
        <item x="266"/>
        <item x="802"/>
        <item x="849"/>
        <item x="102"/>
        <item x="516"/>
        <item x="339"/>
        <item x="80"/>
        <item x="166"/>
        <item x="824"/>
        <item x="237"/>
        <item x="904"/>
        <item x="221"/>
        <item x="886"/>
        <item x="160"/>
        <item x="148"/>
        <item x="422"/>
        <item x="231"/>
        <item x="962"/>
        <item x="13"/>
        <item x="580"/>
        <item x="209"/>
        <item x="264"/>
        <item x="710"/>
        <item x="416"/>
        <item x="50"/>
        <item x="29"/>
        <item x="625"/>
        <item x="922"/>
        <item x="35"/>
        <item x="324"/>
        <item x="161"/>
        <item x="281"/>
        <item x="207"/>
        <item x="218"/>
        <item x="154"/>
        <item x="688"/>
        <item x="509"/>
        <item x="703"/>
        <item x="726"/>
        <item x="333"/>
        <item x="644"/>
        <item x="15"/>
        <item x="24"/>
        <item x="238"/>
        <item x="270"/>
        <item x="284"/>
        <item x="550"/>
        <item x="70"/>
        <item x="176"/>
        <item x="229"/>
        <item x="18"/>
        <item x="401"/>
        <item x="481"/>
        <item x="556"/>
        <item x="362"/>
        <item x="723"/>
        <item x="788"/>
        <item x="575"/>
        <item x="361"/>
        <item x="611"/>
        <item x="410"/>
        <item x="131"/>
        <item x="68"/>
        <item x="747"/>
        <item x="430"/>
        <item x="735"/>
        <item x="641"/>
        <item x="233"/>
        <item x="795"/>
        <item x="705"/>
        <item x="897"/>
        <item x="972"/>
        <item x="457"/>
        <item x="14"/>
        <item x="508"/>
        <item x="189"/>
        <item x="3"/>
        <item x="421"/>
        <item x="774"/>
        <item x="981"/>
        <item x="478"/>
        <item x="714"/>
        <item x="928"/>
        <item x="787"/>
        <item x="818"/>
        <item x="418"/>
        <item x="911"/>
        <item x="514"/>
        <item x="240"/>
        <item x="46"/>
        <item x="569"/>
        <item x="738"/>
        <item x="432"/>
        <item x="234"/>
        <item x="616"/>
        <item x="140"/>
        <item x="997"/>
        <item x="167"/>
        <item x="254"/>
        <item x="707"/>
        <item x="977"/>
        <item x="157"/>
        <item x="117"/>
        <item x="111"/>
        <item x="334"/>
        <item x="48"/>
        <item x="442"/>
        <item x="177"/>
        <item x="629"/>
        <item x="647"/>
        <item x="731"/>
        <item x="542"/>
        <item x="894"/>
        <item x="772"/>
        <item x="211"/>
        <item x="576"/>
        <item x="459"/>
        <item x="375"/>
        <item x="381"/>
        <item x="480"/>
        <item x="236"/>
        <item x="447"/>
        <item x="742"/>
        <item x="485"/>
        <item x="392"/>
        <item x="492"/>
        <item x="528"/>
        <item x="388"/>
        <item x="359"/>
        <item x="945"/>
        <item x="468"/>
        <item x="843"/>
        <item x="400"/>
        <item x="425"/>
        <item x="413"/>
        <item x="595"/>
        <item x="621"/>
        <item x="619"/>
        <item x="344"/>
        <item x="797"/>
        <item x="702"/>
        <item x="670"/>
        <item x="986"/>
        <item x="470"/>
        <item x="309"/>
        <item x="763"/>
        <item x="554"/>
        <item x="493"/>
        <item x="455"/>
        <item x="960"/>
        <item x="511"/>
        <item x="255"/>
        <item x="857"/>
        <item x="628"/>
        <item x="831"/>
        <item x="927"/>
        <item x="792"/>
        <item x="786"/>
        <item x="4"/>
        <item x="373"/>
        <item x="809"/>
        <item x="456"/>
        <item x="559"/>
        <item x="930"/>
        <item x="171"/>
        <item x="920"/>
        <item x="105"/>
        <item x="54"/>
        <item x="163"/>
        <item x="937"/>
        <item x="316"/>
        <item x="21"/>
        <item x="760"/>
        <item x="319"/>
        <item x="817"/>
        <item x="458"/>
        <item x="727"/>
        <item x="524"/>
        <item x="883"/>
        <item x="721"/>
        <item x="643"/>
        <item x="613"/>
        <item x="279"/>
        <item x="300"/>
        <item x="680"/>
        <item x="623"/>
        <item x="104"/>
        <item x="380"/>
        <item x="762"/>
        <item x="881"/>
        <item x="661"/>
        <item x="678"/>
        <item x="225"/>
        <item x="560"/>
        <item x="500"/>
        <item x="265"/>
        <item x="127"/>
        <item x="475"/>
        <item x="810"/>
        <item x="304"/>
        <item x="658"/>
        <item x="534"/>
        <item x="82"/>
        <item x="202"/>
        <item x="650"/>
        <item x="684"/>
        <item x="61"/>
        <item x="340"/>
        <item x="408"/>
        <item x="350"/>
        <item x="708"/>
        <item x="622"/>
        <item x="991"/>
        <item x="987"/>
        <item x="531"/>
        <item x="676"/>
        <item x="529"/>
        <item x="17"/>
        <item x="124"/>
        <item x="277"/>
        <item x="196"/>
        <item x="553"/>
        <item x="197"/>
        <item x="598"/>
        <item x="807"/>
        <item x="315"/>
        <item x="659"/>
        <item x="153"/>
        <item x="605"/>
        <item x="941"/>
        <item x="178"/>
        <item x="439"/>
        <item x="935"/>
        <item x="523"/>
        <item x="164"/>
        <item x="355"/>
        <item x="90"/>
        <item x="235"/>
        <item x="162"/>
        <item x="369"/>
        <item x="460"/>
        <item x="959"/>
        <item x="370"/>
        <item x="110"/>
        <item x="12"/>
        <item x="222"/>
        <item x="610"/>
        <item x="632"/>
        <item x="112"/>
        <item x="204"/>
        <item x="835"/>
        <item x="194"/>
        <item x="382"/>
        <item x="232"/>
        <item x="291"/>
        <item x="262"/>
        <item x="953"/>
        <item x="850"/>
        <item x="672"/>
        <item x="276"/>
        <item x="76"/>
        <item x="862"/>
        <item x="698"/>
        <item x="271"/>
        <item x="466"/>
        <item x="914"/>
        <item x="396"/>
        <item x="954"/>
        <item x="280"/>
        <item x="525"/>
        <item x="53"/>
        <item x="799"/>
        <item x="609"/>
        <item x="174"/>
        <item x="45"/>
        <item x="274"/>
        <item x="123"/>
        <item x="192"/>
        <item x="151"/>
        <item x="88"/>
        <item x="283"/>
        <item x="191"/>
        <item x="671"/>
        <item x="377"/>
        <item x="429"/>
        <item x="8"/>
        <item x="65"/>
        <item x="640"/>
        <item x="828"/>
        <item x="144"/>
        <item x="717"/>
        <item x="645"/>
        <item x="522"/>
        <item x="577"/>
        <item x="884"/>
        <item x="562"/>
        <item x="79"/>
        <item x="936"/>
        <item x="811"/>
        <item x="656"/>
        <item x="662"/>
        <item x="419"/>
        <item x="666"/>
        <item x="929"/>
        <item x="746"/>
        <item x="186"/>
        <item x="9"/>
        <item x="287"/>
        <item x="866"/>
        <item x="736"/>
        <item x="358"/>
        <item x="372"/>
        <item x="335"/>
        <item x="597"/>
        <item x="245"/>
        <item x="242"/>
        <item x="813"/>
        <item x="495"/>
        <item x="411"/>
        <item x="956"/>
        <item x="612"/>
        <item x="454"/>
        <item x="206"/>
        <item x="168"/>
        <item x="371"/>
        <item x="34"/>
        <item x="415"/>
        <item x="518"/>
        <item x="686"/>
        <item x="913"/>
        <item x="420"/>
        <item x="216"/>
        <item x="891"/>
        <item x="357"/>
        <item x="494"/>
        <item x="423"/>
        <item x="691"/>
        <item x="942"/>
        <item x="260"/>
        <item x="367"/>
        <item x="855"/>
        <item x="982"/>
        <item x="875"/>
        <item x="515"/>
        <item x="775"/>
        <item x="535"/>
        <item x="838"/>
        <item x="872"/>
        <item x="859"/>
        <item x="98"/>
        <item x="517"/>
        <item x="663"/>
        <item x="876"/>
        <item x="268"/>
        <item x="1"/>
        <item x="404"/>
        <item x="385"/>
        <item x="968"/>
        <item x="57"/>
        <item x="170"/>
        <item x="499"/>
        <item x="23"/>
        <item x="44"/>
        <item x="773"/>
        <item x="740"/>
        <item x="830"/>
        <item x="502"/>
        <item x="979"/>
        <item x="406"/>
        <item x="114"/>
        <item x="360"/>
        <item x="815"/>
        <item x="40"/>
        <item x="919"/>
        <item x="403"/>
        <item x="488"/>
        <item x="526"/>
        <item x="532"/>
        <item x="834"/>
        <item x="823"/>
        <item x="606"/>
        <item x="395"/>
        <item x="290"/>
        <item x="985"/>
        <item x="796"/>
        <item x="139"/>
        <item x="438"/>
        <item x="566"/>
        <item x="669"/>
        <item x="693"/>
        <item x="657"/>
        <item x="198"/>
        <item x="348"/>
        <item x="975"/>
        <item x="865"/>
        <item x="330"/>
        <item x="32"/>
        <item x="631"/>
        <item x="132"/>
        <item x="299"/>
        <item x="655"/>
        <item x="777"/>
        <item x="654"/>
        <item x="289"/>
        <item x="450"/>
        <item x="10"/>
        <item x="898"/>
        <item x="614"/>
        <item x="479"/>
        <item x="431"/>
        <item x="992"/>
        <item x="682"/>
        <item x="121"/>
        <item x="943"/>
        <item x="259"/>
        <item x="278"/>
        <item x="570"/>
        <item x="147"/>
        <item x="49"/>
        <item x="816"/>
        <item x="821"/>
        <item x="732"/>
        <item x="685"/>
        <item x="725"/>
        <item x="122"/>
        <item x="106"/>
        <item x="741"/>
        <item x="332"/>
        <item x="108"/>
        <item x="465"/>
        <item x="916"/>
        <item x="901"/>
        <item x="467"/>
        <item x="22"/>
        <item x="463"/>
        <item x="476"/>
        <item x="273"/>
        <item x="544"/>
        <item x="585"/>
        <item x="243"/>
        <item x="285"/>
        <item x="624"/>
        <item x="683"/>
        <item x="615"/>
        <item x="592"/>
        <item x="540"/>
        <item x="193"/>
        <item x="496"/>
        <item x="60"/>
        <item x="314"/>
        <item x="637"/>
        <item t="default"/>
      </items>
    </pivotField>
    <pivotField dataField="1" compact="0" showAll="0">
      <items count="1001">
        <item x="183"/>
        <item x="573"/>
        <item x="320"/>
        <item x="909"/>
        <item x="99"/>
        <item x="840"/>
        <item x="593"/>
        <item x="92"/>
        <item x="836"/>
        <item x="856"/>
        <item x="660"/>
        <item x="827"/>
        <item x="806"/>
        <item x="547"/>
        <item x="896"/>
        <item x="974"/>
        <item x="433"/>
        <item x="780"/>
        <item x="483"/>
        <item x="338"/>
        <item x="993"/>
        <item x="938"/>
        <item x="963"/>
        <item x="487"/>
        <item x="839"/>
        <item x="752"/>
        <item x="305"/>
        <item x="804"/>
        <item x="743"/>
        <item x="587"/>
        <item x="673"/>
        <item x="97"/>
        <item x="976"/>
        <item x="926"/>
        <item x="137"/>
        <item x="893"/>
        <item x="814"/>
        <item x="978"/>
        <item x="507"/>
        <item x="933"/>
        <item x="28"/>
        <item x="793"/>
        <item x="510"/>
        <item x="984"/>
        <item x="988"/>
        <item x="302"/>
        <item x="989"/>
        <item x="199"/>
        <item x="949"/>
        <item x="94"/>
        <item x="563"/>
        <item x="213"/>
        <item x="733"/>
        <item x="588"/>
        <item x="443"/>
        <item x="328"/>
        <item x="296"/>
        <item x="424"/>
        <item x="55"/>
        <item x="822"/>
        <item x="226"/>
        <item x="103"/>
        <item x="346"/>
        <item x="860"/>
        <item x="878"/>
        <item x="437"/>
        <item x="187"/>
        <item x="965"/>
        <item x="583"/>
        <item x="915"/>
        <item x="219"/>
        <item x="329"/>
        <item x="353"/>
        <item x="336"/>
        <item x="390"/>
        <item x="998"/>
        <item x="805"/>
        <item x="469"/>
        <item x="791"/>
        <item x="85"/>
        <item x="212"/>
        <item x="854"/>
        <item x="489"/>
        <item x="918"/>
        <item x="530"/>
        <item x="446"/>
        <item x="646"/>
        <item x="27"/>
        <item x="138"/>
        <item x="759"/>
        <item x="539"/>
        <item x="257"/>
        <item x="582"/>
        <item x="436"/>
        <item x="719"/>
        <item x="78"/>
        <item x="356"/>
        <item x="651"/>
        <item x="602"/>
        <item x="38"/>
        <item x="679"/>
        <item x="482"/>
        <item x="853"/>
        <item x="638"/>
        <item x="912"/>
        <item x="321"/>
        <item x="749"/>
        <item x="549"/>
        <item x="376"/>
        <item x="295"/>
        <item x="877"/>
        <item x="737"/>
        <item x="552"/>
        <item x="393"/>
        <item x="689"/>
        <item x="81"/>
        <item x="133"/>
        <item x="890"/>
        <item x="538"/>
        <item x="267"/>
        <item x="383"/>
        <item x="808"/>
        <item x="322"/>
        <item x="675"/>
        <item x="952"/>
        <item x="715"/>
        <item x="214"/>
        <item x="0"/>
        <item x="697"/>
        <item x="66"/>
        <item x="868"/>
        <item x="871"/>
        <item x="58"/>
        <item x="337"/>
        <item x="165"/>
        <item x="251"/>
        <item x="25"/>
        <item x="771"/>
        <item x="172"/>
        <item x="135"/>
        <item x="107"/>
        <item x="313"/>
        <item x="800"/>
        <item x="841"/>
        <item x="902"/>
        <item x="590"/>
        <item x="86"/>
        <item x="846"/>
        <item x="545"/>
        <item x="626"/>
        <item x="453"/>
        <item x="490"/>
        <item x="244"/>
        <item x="180"/>
        <item x="617"/>
        <item x="74"/>
        <item x="757"/>
        <item x="695"/>
        <item x="863"/>
        <item x="940"/>
        <item x="561"/>
        <item x="803"/>
        <item x="770"/>
        <item x="716"/>
        <item x="169"/>
        <item x="449"/>
        <item x="440"/>
        <item x="308"/>
        <item x="983"/>
        <item x="908"/>
        <item x="706"/>
        <item x="520"/>
        <item x="506"/>
        <item x="474"/>
        <item x="130"/>
        <item x="781"/>
        <item x="64"/>
        <item x="789"/>
        <item x="52"/>
        <item x="42"/>
        <item x="477"/>
        <item x="931"/>
        <item x="190"/>
        <item x="709"/>
        <item x="603"/>
        <item x="864"/>
        <item x="184"/>
        <item x="129"/>
        <item x="19"/>
        <item x="84"/>
        <item x="248"/>
        <item x="325"/>
        <item x="895"/>
        <item x="41"/>
        <item x="579"/>
        <item x="687"/>
        <item x="887"/>
        <item x="351"/>
        <item x="541"/>
        <item x="867"/>
        <item x="503"/>
        <item x="311"/>
        <item x="966"/>
        <item x="136"/>
        <item x="501"/>
        <item x="345"/>
        <item x="100"/>
        <item x="527"/>
        <item x="145"/>
        <item x="407"/>
        <item x="761"/>
        <item x="668"/>
        <item x="210"/>
        <item x="77"/>
        <item x="331"/>
        <item x="448"/>
        <item x="958"/>
        <item x="601"/>
        <item x="374"/>
        <item x="753"/>
        <item x="389"/>
        <item x="639"/>
        <item x="205"/>
        <item x="899"/>
        <item x="282"/>
        <item x="996"/>
        <item x="825"/>
        <item x="692"/>
        <item x="751"/>
        <item x="368"/>
        <item x="217"/>
        <item x="62"/>
        <item x="604"/>
        <item x="536"/>
        <item x="414"/>
        <item x="30"/>
        <item x="711"/>
        <item x="252"/>
        <item x="794"/>
        <item x="175"/>
        <item x="293"/>
        <item x="951"/>
        <item x="497"/>
        <item x="7"/>
        <item x="158"/>
        <item x="924"/>
        <item x="33"/>
        <item x="946"/>
        <item x="378"/>
        <item x="880"/>
        <item x="681"/>
        <item x="754"/>
        <item x="294"/>
        <item x="461"/>
        <item x="882"/>
        <item x="519"/>
        <item x="200"/>
        <item x="906"/>
        <item x="704"/>
        <item x="667"/>
        <item x="444"/>
        <item x="969"/>
        <item x="955"/>
        <item x="720"/>
        <item x="386"/>
        <item x="208"/>
        <item x="557"/>
        <item x="829"/>
        <item x="256"/>
        <item x="533"/>
        <item x="155"/>
        <item x="999"/>
        <item x="434"/>
        <item x="832"/>
        <item x="11"/>
        <item x="16"/>
        <item x="126"/>
        <item x="462"/>
        <item x="428"/>
        <item x="119"/>
        <item x="247"/>
        <item x="513"/>
        <item x="932"/>
        <item x="366"/>
        <item x="398"/>
        <item x="819"/>
        <item x="944"/>
        <item x="543"/>
        <item x="907"/>
        <item x="91"/>
        <item x="990"/>
        <item x="923"/>
        <item x="59"/>
        <item x="964"/>
        <item x="341"/>
        <item x="71"/>
        <item x="701"/>
        <item x="26"/>
        <item x="546"/>
        <item x="581"/>
        <item x="744"/>
        <item x="564"/>
        <item x="649"/>
        <item x="250"/>
        <item x="635"/>
        <item x="848"/>
        <item x="934"/>
        <item x="484"/>
        <item x="89"/>
        <item x="365"/>
        <item x="43"/>
        <item x="142"/>
        <item x="143"/>
        <item x="150"/>
        <item x="858"/>
        <item x="578"/>
        <item x="310"/>
        <item x="471"/>
        <item x="812"/>
        <item x="567"/>
        <item x="156"/>
        <item x="758"/>
        <item x="101"/>
        <item x="227"/>
        <item x="618"/>
        <item x="548"/>
        <item x="785"/>
        <item x="31"/>
        <item x="275"/>
        <item x="241"/>
        <item x="826"/>
        <item x="83"/>
        <item x="427"/>
        <item x="947"/>
        <item x="47"/>
        <item x="970"/>
        <item x="600"/>
        <item x="873"/>
        <item x="995"/>
        <item x="820"/>
        <item x="20"/>
        <item x="905"/>
        <item x="921"/>
        <item x="128"/>
        <item x="215"/>
        <item x="409"/>
        <item x="734"/>
        <item x="537"/>
        <item x="451"/>
        <item x="861"/>
        <item x="73"/>
        <item x="558"/>
        <item x="630"/>
        <item x="159"/>
        <item x="75"/>
        <item x="833"/>
        <item x="589"/>
        <item x="72"/>
        <item x="95"/>
        <item x="354"/>
        <item x="491"/>
        <item x="39"/>
        <item x="505"/>
        <item x="228"/>
        <item x="464"/>
        <item x="633"/>
        <item x="636"/>
        <item x="113"/>
        <item x="903"/>
        <item x="292"/>
        <item x="765"/>
        <item x="441"/>
        <item x="195"/>
        <item x="182"/>
        <item x="790"/>
        <item x="223"/>
        <item x="842"/>
        <item x="551"/>
        <item x="892"/>
        <item x="323"/>
        <item x="634"/>
        <item x="784"/>
        <item x="756"/>
        <item x="343"/>
        <item x="783"/>
        <item x="69"/>
        <item x="116"/>
        <item x="452"/>
        <item x="301"/>
        <item x="973"/>
        <item x="37"/>
        <item x="397"/>
        <item x="844"/>
        <item x="768"/>
        <item x="664"/>
        <item x="318"/>
        <item x="591"/>
        <item x="173"/>
        <item x="391"/>
        <item x="948"/>
        <item x="917"/>
        <item x="910"/>
        <item x="851"/>
        <item x="326"/>
        <item x="778"/>
        <item x="342"/>
        <item x="939"/>
        <item x="220"/>
        <item x="93"/>
        <item x="574"/>
        <item x="594"/>
        <item x="120"/>
        <item x="349"/>
        <item x="384"/>
        <item x="36"/>
        <item x="347"/>
        <item x="307"/>
        <item x="297"/>
        <item x="352"/>
        <item x="608"/>
        <item x="568"/>
        <item x="5"/>
        <item x="885"/>
        <item x="739"/>
        <item x="565"/>
        <item x="152"/>
        <item x="801"/>
        <item x="435"/>
        <item x="312"/>
        <item x="188"/>
        <item x="627"/>
        <item x="766"/>
        <item x="261"/>
        <item x="286"/>
        <item x="776"/>
        <item x="620"/>
        <item x="288"/>
        <item x="950"/>
        <item x="607"/>
        <item x="118"/>
        <item x="246"/>
        <item x="63"/>
        <item x="498"/>
        <item x="837"/>
        <item x="874"/>
        <item x="642"/>
        <item x="925"/>
        <item x="387"/>
        <item x="748"/>
        <item x="179"/>
        <item x="504"/>
        <item x="967"/>
        <item x="879"/>
        <item x="134"/>
        <item x="306"/>
        <item x="185"/>
        <item x="512"/>
        <item x="845"/>
        <item x="750"/>
        <item x="722"/>
        <item x="263"/>
        <item x="957"/>
        <item x="201"/>
        <item x="472"/>
        <item x="67"/>
        <item x="745"/>
        <item x="888"/>
        <item x="96"/>
        <item x="555"/>
        <item x="847"/>
        <item x="700"/>
        <item x="486"/>
        <item x="782"/>
        <item x="652"/>
        <item x="769"/>
        <item x="224"/>
        <item x="764"/>
        <item x="405"/>
        <item x="473"/>
        <item x="521"/>
        <item x="677"/>
        <item x="203"/>
        <item x="571"/>
        <item x="394"/>
        <item x="674"/>
        <item x="755"/>
        <item x="317"/>
        <item x="51"/>
        <item x="699"/>
        <item x="125"/>
        <item x="718"/>
        <item x="6"/>
        <item x="596"/>
        <item x="572"/>
        <item x="599"/>
        <item x="779"/>
        <item x="900"/>
        <item x="971"/>
        <item x="586"/>
        <item x="364"/>
        <item x="696"/>
        <item x="149"/>
        <item x="115"/>
        <item x="728"/>
        <item x="852"/>
        <item x="653"/>
        <item x="298"/>
        <item x="869"/>
        <item x="665"/>
        <item x="694"/>
        <item x="994"/>
        <item x="269"/>
        <item x="713"/>
        <item x="146"/>
        <item x="181"/>
        <item x="253"/>
        <item x="303"/>
        <item x="417"/>
        <item x="363"/>
        <item x="445"/>
        <item x="402"/>
        <item x="961"/>
        <item x="399"/>
        <item x="230"/>
        <item x="2"/>
        <item x="730"/>
        <item x="712"/>
        <item x="109"/>
        <item x="141"/>
        <item x="980"/>
        <item x="239"/>
        <item x="724"/>
        <item x="729"/>
        <item x="584"/>
        <item x="379"/>
        <item x="767"/>
        <item x="412"/>
        <item x="889"/>
        <item x="258"/>
        <item x="272"/>
        <item x="798"/>
        <item x="648"/>
        <item x="249"/>
        <item x="426"/>
        <item x="56"/>
        <item x="690"/>
        <item x="327"/>
        <item x="870"/>
        <item x="87"/>
        <item x="266"/>
        <item x="802"/>
        <item x="849"/>
        <item x="102"/>
        <item x="516"/>
        <item x="339"/>
        <item x="80"/>
        <item x="166"/>
        <item x="824"/>
        <item x="237"/>
        <item x="904"/>
        <item x="221"/>
        <item x="886"/>
        <item x="160"/>
        <item x="148"/>
        <item x="422"/>
        <item x="231"/>
        <item x="962"/>
        <item x="13"/>
        <item x="580"/>
        <item x="209"/>
        <item x="264"/>
        <item x="710"/>
        <item x="416"/>
        <item x="50"/>
        <item x="29"/>
        <item x="625"/>
        <item x="922"/>
        <item x="35"/>
        <item x="324"/>
        <item x="161"/>
        <item x="281"/>
        <item x="207"/>
        <item x="218"/>
        <item x="154"/>
        <item x="688"/>
        <item x="509"/>
        <item x="703"/>
        <item x="726"/>
        <item x="333"/>
        <item x="644"/>
        <item x="15"/>
        <item x="24"/>
        <item x="238"/>
        <item x="270"/>
        <item x="284"/>
        <item x="550"/>
        <item x="70"/>
        <item x="176"/>
        <item x="229"/>
        <item x="18"/>
        <item x="401"/>
        <item x="481"/>
        <item x="556"/>
        <item x="362"/>
        <item x="723"/>
        <item x="788"/>
        <item x="575"/>
        <item x="361"/>
        <item x="611"/>
        <item x="410"/>
        <item x="131"/>
        <item x="68"/>
        <item x="747"/>
        <item x="430"/>
        <item x="735"/>
        <item x="641"/>
        <item x="233"/>
        <item x="795"/>
        <item x="705"/>
        <item x="897"/>
        <item x="972"/>
        <item x="457"/>
        <item x="14"/>
        <item x="508"/>
        <item x="189"/>
        <item x="3"/>
        <item x="421"/>
        <item x="774"/>
        <item x="981"/>
        <item x="478"/>
        <item x="714"/>
        <item x="928"/>
        <item x="787"/>
        <item x="818"/>
        <item x="418"/>
        <item x="911"/>
        <item x="514"/>
        <item x="240"/>
        <item x="46"/>
        <item x="569"/>
        <item x="738"/>
        <item x="432"/>
        <item x="234"/>
        <item x="616"/>
        <item x="140"/>
        <item x="997"/>
        <item x="167"/>
        <item x="254"/>
        <item x="707"/>
        <item x="977"/>
        <item x="157"/>
        <item x="117"/>
        <item x="111"/>
        <item x="334"/>
        <item x="48"/>
        <item x="442"/>
        <item x="177"/>
        <item x="629"/>
        <item x="647"/>
        <item x="731"/>
        <item x="542"/>
        <item x="894"/>
        <item x="772"/>
        <item x="211"/>
        <item x="576"/>
        <item x="459"/>
        <item x="375"/>
        <item x="381"/>
        <item x="480"/>
        <item x="236"/>
        <item x="447"/>
        <item x="742"/>
        <item x="485"/>
        <item x="392"/>
        <item x="492"/>
        <item x="528"/>
        <item x="388"/>
        <item x="359"/>
        <item x="945"/>
        <item x="468"/>
        <item x="843"/>
        <item x="400"/>
        <item x="425"/>
        <item x="413"/>
        <item x="595"/>
        <item x="621"/>
        <item x="619"/>
        <item x="344"/>
        <item x="797"/>
        <item x="702"/>
        <item x="670"/>
        <item x="986"/>
        <item x="470"/>
        <item x="309"/>
        <item x="763"/>
        <item x="554"/>
        <item x="493"/>
        <item x="455"/>
        <item x="960"/>
        <item x="511"/>
        <item x="255"/>
        <item x="857"/>
        <item x="628"/>
        <item x="831"/>
        <item x="927"/>
        <item x="792"/>
        <item x="786"/>
        <item x="4"/>
        <item x="373"/>
        <item x="809"/>
        <item x="456"/>
        <item x="559"/>
        <item x="930"/>
        <item x="171"/>
        <item x="920"/>
        <item x="105"/>
        <item x="54"/>
        <item x="163"/>
        <item x="937"/>
        <item x="316"/>
        <item x="21"/>
        <item x="760"/>
        <item x="319"/>
        <item x="817"/>
        <item x="458"/>
        <item x="727"/>
        <item x="524"/>
        <item x="883"/>
        <item x="721"/>
        <item x="643"/>
        <item x="613"/>
        <item x="279"/>
        <item x="300"/>
        <item x="680"/>
        <item x="623"/>
        <item x="104"/>
        <item x="380"/>
        <item x="762"/>
        <item x="881"/>
        <item x="661"/>
        <item x="678"/>
        <item x="225"/>
        <item x="560"/>
        <item x="500"/>
        <item x="265"/>
        <item x="127"/>
        <item x="475"/>
        <item x="810"/>
        <item x="304"/>
        <item x="658"/>
        <item x="534"/>
        <item x="82"/>
        <item x="202"/>
        <item x="650"/>
        <item x="684"/>
        <item x="61"/>
        <item x="340"/>
        <item x="408"/>
        <item x="350"/>
        <item x="708"/>
        <item x="622"/>
        <item x="991"/>
        <item x="987"/>
        <item x="531"/>
        <item x="676"/>
        <item x="529"/>
        <item x="17"/>
        <item x="124"/>
        <item x="277"/>
        <item x="196"/>
        <item x="553"/>
        <item x="197"/>
        <item x="598"/>
        <item x="807"/>
        <item x="315"/>
        <item x="659"/>
        <item x="153"/>
        <item x="605"/>
        <item x="941"/>
        <item x="178"/>
        <item x="439"/>
        <item x="935"/>
        <item x="523"/>
        <item x="164"/>
        <item x="355"/>
        <item x="90"/>
        <item x="235"/>
        <item x="162"/>
        <item x="369"/>
        <item x="460"/>
        <item x="959"/>
        <item x="370"/>
        <item x="110"/>
        <item x="12"/>
        <item x="222"/>
        <item x="610"/>
        <item x="632"/>
        <item x="112"/>
        <item x="204"/>
        <item x="835"/>
        <item x="194"/>
        <item x="382"/>
        <item x="232"/>
        <item x="291"/>
        <item x="262"/>
        <item x="953"/>
        <item x="850"/>
        <item x="672"/>
        <item x="276"/>
        <item x="76"/>
        <item x="862"/>
        <item x="698"/>
        <item x="271"/>
        <item x="466"/>
        <item x="914"/>
        <item x="396"/>
        <item x="954"/>
        <item x="280"/>
        <item x="525"/>
        <item x="53"/>
        <item x="799"/>
        <item x="609"/>
        <item x="174"/>
        <item x="45"/>
        <item x="274"/>
        <item x="123"/>
        <item x="192"/>
        <item x="151"/>
        <item x="88"/>
        <item x="283"/>
        <item x="191"/>
        <item x="671"/>
        <item x="377"/>
        <item x="429"/>
        <item x="8"/>
        <item x="65"/>
        <item x="640"/>
        <item x="828"/>
        <item x="144"/>
        <item x="717"/>
        <item x="645"/>
        <item x="522"/>
        <item x="577"/>
        <item x="884"/>
        <item x="562"/>
        <item x="79"/>
        <item x="936"/>
        <item x="811"/>
        <item x="656"/>
        <item x="662"/>
        <item x="419"/>
        <item x="666"/>
        <item x="929"/>
        <item x="746"/>
        <item x="186"/>
        <item x="9"/>
        <item x="287"/>
        <item x="866"/>
        <item x="736"/>
        <item x="358"/>
        <item x="372"/>
        <item x="335"/>
        <item x="597"/>
        <item x="245"/>
        <item x="242"/>
        <item x="813"/>
        <item x="495"/>
        <item x="411"/>
        <item x="956"/>
        <item x="612"/>
        <item x="454"/>
        <item x="206"/>
        <item x="168"/>
        <item x="371"/>
        <item x="34"/>
        <item x="415"/>
        <item x="518"/>
        <item x="686"/>
        <item x="913"/>
        <item x="420"/>
        <item x="216"/>
        <item x="891"/>
        <item x="357"/>
        <item x="494"/>
        <item x="423"/>
        <item x="691"/>
        <item x="942"/>
        <item x="260"/>
        <item x="367"/>
        <item x="855"/>
        <item x="982"/>
        <item x="875"/>
        <item x="515"/>
        <item x="775"/>
        <item x="535"/>
        <item x="838"/>
        <item x="872"/>
        <item x="859"/>
        <item x="98"/>
        <item x="517"/>
        <item x="663"/>
        <item x="876"/>
        <item x="268"/>
        <item x="1"/>
        <item x="404"/>
        <item x="385"/>
        <item x="968"/>
        <item x="57"/>
        <item x="170"/>
        <item x="499"/>
        <item x="23"/>
        <item x="44"/>
        <item x="773"/>
        <item x="740"/>
        <item x="830"/>
        <item x="502"/>
        <item x="979"/>
        <item x="406"/>
        <item x="114"/>
        <item x="360"/>
        <item x="815"/>
        <item x="40"/>
        <item x="919"/>
        <item x="403"/>
        <item x="488"/>
        <item x="526"/>
        <item x="532"/>
        <item x="834"/>
        <item x="823"/>
        <item x="606"/>
        <item x="395"/>
        <item x="290"/>
        <item x="985"/>
        <item x="796"/>
        <item x="139"/>
        <item x="438"/>
        <item x="566"/>
        <item x="669"/>
        <item x="693"/>
        <item x="657"/>
        <item x="198"/>
        <item x="348"/>
        <item x="975"/>
        <item x="865"/>
        <item x="330"/>
        <item x="32"/>
        <item x="631"/>
        <item x="132"/>
        <item x="299"/>
        <item x="655"/>
        <item x="777"/>
        <item x="654"/>
        <item x="289"/>
        <item x="450"/>
        <item x="10"/>
        <item x="898"/>
        <item x="614"/>
        <item x="479"/>
        <item x="431"/>
        <item x="992"/>
        <item x="682"/>
        <item x="121"/>
        <item x="943"/>
        <item x="259"/>
        <item x="278"/>
        <item x="570"/>
        <item x="147"/>
        <item x="49"/>
        <item x="816"/>
        <item x="821"/>
        <item x="732"/>
        <item x="685"/>
        <item x="725"/>
        <item x="122"/>
        <item x="106"/>
        <item x="741"/>
        <item x="332"/>
        <item x="108"/>
        <item x="465"/>
        <item x="916"/>
        <item x="901"/>
        <item x="467"/>
        <item x="22"/>
        <item x="463"/>
        <item x="476"/>
        <item x="273"/>
        <item x="544"/>
        <item x="585"/>
        <item x="243"/>
        <item x="285"/>
        <item x="624"/>
        <item x="683"/>
        <item x="615"/>
        <item x="592"/>
        <item x="540"/>
        <item x="193"/>
        <item x="496"/>
        <item x="60"/>
        <item x="314"/>
        <item x="637"/>
        <item t="default"/>
      </items>
    </pivotField>
    <pivotField compact="0" showAll="0"/>
    <pivotField compact="0" showAll="0"/>
    <pivotField compact="0" numFmtId="10" showAll="0"/>
    <pivotField compact="0" showAll="0"/>
    <pivotField compact="0" showAll="0" defaultSubtotal="0"/>
    <pivotField compact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2">
    <field x="4"/>
    <field x="5"/>
  </rowFields>
  <rowItems count="7">
    <i>
      <x/>
    </i>
    <i r="1">
      <x/>
    </i>
    <i r="1">
      <x v="1"/>
    </i>
    <i>
      <x v="1"/>
    </i>
    <i r="1">
      <x/>
    </i>
    <i r="1"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TotalSales" fld="10" baseField="4" baseItem="0"/>
    <dataField name="Average of Sales" fld="10" subtotal="average" baseField="4" baseItem="0"/>
    <dataField name="Profit " fld="11" baseField="4" baseItem="0"/>
    <dataField name="Count" fld="5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3BC14F-95E5-4EC3-8C19-00D004FE4F14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8" firstHeaderRow="1" firstDataRow="2" firstDataCol="1"/>
  <pivotFields count="18">
    <pivotField showAll="0"/>
    <pivotField axis="axisRow" showAll="0">
      <items count="4">
        <item x="1"/>
        <item x="2"/>
        <item x="0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showAll="0">
      <items count="3">
        <item sd="0" x="1"/>
        <item sd="0" x="0"/>
        <item t="default"/>
      </items>
    </pivotField>
    <pivotField axis="axisCol" showAll="0">
      <items count="7">
        <item x="3"/>
        <item x="0"/>
        <item x="4"/>
        <item x="1"/>
        <item x="2"/>
        <item x="5"/>
        <item t="default"/>
      </items>
    </pivotField>
    <pivotField numFmtId="14" showAll="0">
      <items count="91">
        <item x="68"/>
        <item x="19"/>
        <item x="60"/>
        <item x="50"/>
        <item x="89"/>
        <item x="70"/>
        <item x="64"/>
        <item x="85"/>
        <item x="37"/>
        <item x="69"/>
        <item x="80"/>
        <item x="74"/>
        <item x="22"/>
        <item x="48"/>
        <item x="13"/>
        <item x="65"/>
        <item x="35"/>
        <item x="41"/>
        <item x="55"/>
        <item x="51"/>
        <item x="0"/>
        <item x="25"/>
        <item x="76"/>
        <item x="44"/>
        <item x="28"/>
        <item x="57"/>
        <item x="15"/>
        <item x="16"/>
        <item x="43"/>
        <item x="73"/>
        <item x="87"/>
        <item x="12"/>
        <item x="62"/>
        <item x="78"/>
        <item x="83"/>
        <item x="20"/>
        <item x="81"/>
        <item x="31"/>
        <item x="86"/>
        <item x="34"/>
        <item x="11"/>
        <item x="5"/>
        <item x="30"/>
        <item x="75"/>
        <item x="32"/>
        <item x="58"/>
        <item x="52"/>
        <item x="29"/>
        <item x="49"/>
        <item x="39"/>
        <item x="6"/>
        <item x="56"/>
        <item x="59"/>
        <item x="67"/>
        <item x="42"/>
        <item x="9"/>
        <item x="36"/>
        <item x="18"/>
        <item x="17"/>
        <item x="1"/>
        <item x="66"/>
        <item x="14"/>
        <item x="4"/>
        <item x="7"/>
        <item x="88"/>
        <item x="61"/>
        <item x="72"/>
        <item x="38"/>
        <item x="79"/>
        <item x="82"/>
        <item x="21"/>
        <item x="63"/>
        <item x="47"/>
        <item x="3"/>
        <item x="27"/>
        <item x="8"/>
        <item x="53"/>
        <item x="71"/>
        <item x="54"/>
        <item x="10"/>
        <item x="2"/>
        <item x="46"/>
        <item x="77"/>
        <item x="45"/>
        <item x="40"/>
        <item x="84"/>
        <item x="24"/>
        <item x="33"/>
        <item x="23"/>
        <item x="26"/>
        <item t="default"/>
      </items>
    </pivotField>
    <pivotField showAll="0"/>
    <pivotField showAll="0"/>
    <pivotField dataField="1" showAll="0"/>
    <pivotField showAll="0"/>
    <pivotField showAll="0"/>
    <pivotField showAll="0"/>
    <pivotField numFmtId="10"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6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Sales_Amount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80194F-10E8-45F2-A1FD-42EC9AC8CB3C}" name="Supermarket_Sales_Case_Study" displayName="Supermarket_Sales_Case_Study" ref="A1:P1001" totalsRowShown="0">
  <autoFilter ref="A1:P1001" xr:uid="{9380194F-10E8-45F2-A1FD-42EC9AC8CB3C}"/>
  <tableColumns count="16">
    <tableColumn id="1" xr3:uid="{7A6452F6-01C9-403F-B5FB-5B44B91CF3C6}" name="Invoice_ID"/>
    <tableColumn id="2" xr3:uid="{24DAA9FE-389D-4AB0-A16A-5E14C7137076}" name="Branch"/>
    <tableColumn id="3" xr3:uid="{26AE9645-1090-4FC5-8972-A94212FC8851}" name="City"/>
    <tableColumn id="4" xr3:uid="{F2CD5869-A68F-40DB-A28A-546F09384A68}" name="Customer_ID"/>
    <tableColumn id="5" xr3:uid="{7D1FDD0C-C859-4524-BFDC-8915B3F4352A}" name="Customer_Type"/>
    <tableColumn id="6" xr3:uid="{C64DE2EB-11D2-416F-B7BB-6AF1FF54324D}" name="Gender"/>
    <tableColumn id="7" xr3:uid="{745148B1-E08D-4AF9-B830-90C3573D14BC}" name="Product_Line"/>
    <tableColumn id="8" xr3:uid="{6FBBBE9E-F878-4B1F-BFED-7F31452517BC}" name="Date" dataDxfId="3"/>
    <tableColumn id="9" xr3:uid="{A63ED1A4-38F3-4425-BE6B-33441770DCEC}" name="Unit_Price"/>
    <tableColumn id="10" xr3:uid="{1480A4C9-00BD-43F6-9F4F-9FFBD68FE999}" name="Quantity"/>
    <tableColumn id="11" xr3:uid="{EC846246-79F0-49C1-AB7C-D54F93E1F7F5}" name="Sales_Amount"/>
    <tableColumn id="12" xr3:uid="{F1F04ECE-3776-4114-8594-05EFED0F743E}" name="Profit"/>
    <tableColumn id="13" xr3:uid="{7ED07E06-01ED-48A0-AED6-BCAF8F5149B4}" name="Payment_Method"/>
    <tableColumn id="15" xr3:uid="{AA285233-7FD1-4EFE-8F7E-1D51763BB44D}" name="Purchase" dataDxfId="2">
      <calculatedColumnFormula>Supermarket_Sales_Case_Study[[#This Row],[Sales_Amount]]-Supermarket_Sales_Case_Study[[#This Row],[Profit]]</calculatedColumnFormula>
    </tableColumn>
    <tableColumn id="16" xr3:uid="{4ECA8480-7B3F-4D68-91E1-4B489624D31C}" name="Percentage" dataDxfId="1">
      <calculatedColumnFormula>(Supermarket_Sales_Case_Study[[#This Row],[Sales_Amount]]-Supermarket_Sales_Case_Study[[#This Row],[Purchase]])/Supermarket_Sales_Case_Study[[#This Row],[Sales_Amount]]</calculatedColumnFormula>
    </tableColumn>
    <tableColumn id="17" xr3:uid="{3E99A895-6A0F-4CE9-8133-F1B9D0C0A761}" name="TotalSales" dataDxfId="0">
      <calculatedColumnFormula>Supermarket_Sales_Case_Study[[#This Row],[Quantity]]*Supermarket_Sales_Case_Study[[#This Row],[Sales_Amount]]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987EC-7332-4E39-A55E-6F09D016F3B0}">
  <dimension ref="A3:H18"/>
  <sheetViews>
    <sheetView tabSelected="1" topLeftCell="A4" workbookViewId="0">
      <selection activeCell="E9" sqref="E9"/>
    </sheetView>
  </sheetViews>
  <sheetFormatPr defaultRowHeight="14.4" x14ac:dyDescent="0.3"/>
  <cols>
    <col min="1" max="1" width="19.77734375" bestFit="1" customWidth="1"/>
    <col min="2" max="2" width="13.33203125" bestFit="1" customWidth="1"/>
    <col min="3" max="3" width="12" bestFit="1" customWidth="1"/>
    <col min="4" max="4" width="16.21875" bestFit="1" customWidth="1"/>
    <col min="5" max="5" width="14.77734375" bestFit="1" customWidth="1"/>
    <col min="6" max="6" width="14.5546875" bestFit="1" customWidth="1"/>
    <col min="7" max="7" width="16.6640625" bestFit="1" customWidth="1"/>
    <col min="8" max="9" width="12" bestFit="1" customWidth="1"/>
    <col min="10" max="10" width="11" bestFit="1" customWidth="1"/>
    <col min="11" max="11" width="12" bestFit="1" customWidth="1"/>
    <col min="12" max="12" width="11" bestFit="1" customWidth="1"/>
    <col min="13" max="114" width="12" bestFit="1" customWidth="1"/>
    <col min="115" max="115" width="11" bestFit="1" customWidth="1"/>
    <col min="116" max="120" width="12" bestFit="1" customWidth="1"/>
    <col min="121" max="121" width="11" bestFit="1" customWidth="1"/>
    <col min="122" max="169" width="12" bestFit="1" customWidth="1"/>
    <col min="170" max="170" width="11" bestFit="1" customWidth="1"/>
    <col min="171" max="183" width="12" bestFit="1" customWidth="1"/>
    <col min="184" max="184" width="11" bestFit="1" customWidth="1"/>
    <col min="185" max="238" width="12" bestFit="1" customWidth="1"/>
    <col min="239" max="239" width="11" bestFit="1" customWidth="1"/>
    <col min="240" max="528" width="12" bestFit="1" customWidth="1"/>
    <col min="529" max="529" width="11" bestFit="1" customWidth="1"/>
    <col min="530" max="618" width="12" bestFit="1" customWidth="1"/>
    <col min="619" max="619" width="11" bestFit="1" customWidth="1"/>
    <col min="620" max="723" width="12" bestFit="1" customWidth="1"/>
    <col min="724" max="724" width="11" bestFit="1" customWidth="1"/>
    <col min="725" max="764" width="12" bestFit="1" customWidth="1"/>
    <col min="765" max="765" width="11" bestFit="1" customWidth="1"/>
    <col min="766" max="798" width="12" bestFit="1" customWidth="1"/>
    <col min="799" max="799" width="11" bestFit="1" customWidth="1"/>
    <col min="800" max="806" width="12" bestFit="1" customWidth="1"/>
    <col min="807" max="807" width="11" bestFit="1" customWidth="1"/>
    <col min="808" max="813" width="12" bestFit="1" customWidth="1"/>
    <col min="814" max="814" width="11" bestFit="1" customWidth="1"/>
    <col min="815" max="820" width="12" bestFit="1" customWidth="1"/>
    <col min="821" max="821" width="11" bestFit="1" customWidth="1"/>
    <col min="822" max="851" width="12" bestFit="1" customWidth="1"/>
    <col min="852" max="852" width="11" bestFit="1" customWidth="1"/>
    <col min="853" max="856" width="12" bestFit="1" customWidth="1"/>
    <col min="857" max="857" width="11" bestFit="1" customWidth="1"/>
    <col min="858" max="863" width="12" bestFit="1" customWidth="1"/>
    <col min="864" max="864" width="11" bestFit="1" customWidth="1"/>
    <col min="865" max="928" width="12" bestFit="1" customWidth="1"/>
    <col min="929" max="929" width="11" bestFit="1" customWidth="1"/>
    <col min="930" max="1002" width="12" bestFit="1" customWidth="1"/>
  </cols>
  <sheetData>
    <row r="3" spans="1:8" x14ac:dyDescent="0.3">
      <c r="A3" s="3" t="s">
        <v>1064</v>
      </c>
      <c r="B3" s="3" t="s">
        <v>1038</v>
      </c>
    </row>
    <row r="4" spans="1:8" x14ac:dyDescent="0.3">
      <c r="A4" s="3" t="s">
        <v>1036</v>
      </c>
      <c r="B4" t="s">
        <v>31</v>
      </c>
      <c r="C4" t="s">
        <v>18</v>
      </c>
      <c r="D4" t="s">
        <v>33</v>
      </c>
      <c r="E4" t="s">
        <v>23</v>
      </c>
      <c r="F4" t="s">
        <v>28</v>
      </c>
      <c r="G4" t="s">
        <v>37</v>
      </c>
      <c r="H4" t="s">
        <v>1037</v>
      </c>
    </row>
    <row r="5" spans="1:8" x14ac:dyDescent="0.3">
      <c r="A5" s="4" t="s">
        <v>21</v>
      </c>
      <c r="B5" s="19">
        <v>51017.925958760556</v>
      </c>
      <c r="C5" s="19">
        <v>44123.295943450117</v>
      </c>
      <c r="D5" s="19">
        <v>49519.799518061911</v>
      </c>
      <c r="E5" s="19">
        <v>57250.43848762937</v>
      </c>
      <c r="F5" s="19">
        <v>43976.835978166127</v>
      </c>
      <c r="G5" s="19">
        <v>37784.615291472051</v>
      </c>
      <c r="H5" s="19">
        <v>283672.91117754014</v>
      </c>
    </row>
    <row r="6" spans="1:8" x14ac:dyDescent="0.3">
      <c r="A6" s="4" t="s">
        <v>39</v>
      </c>
      <c r="B6" s="19">
        <v>42942.288740455464</v>
      </c>
      <c r="C6" s="19">
        <v>36794.86606589672</v>
      </c>
      <c r="D6" s="19">
        <v>44061.013837037863</v>
      </c>
      <c r="E6" s="19">
        <v>43220.680126262931</v>
      </c>
      <c r="F6" s="19">
        <v>48693.678335756063</v>
      </c>
      <c r="G6" s="19">
        <v>41618.843934426695</v>
      </c>
      <c r="H6" s="19">
        <v>257331.37103983577</v>
      </c>
    </row>
    <row r="7" spans="1:8" x14ac:dyDescent="0.3">
      <c r="A7" s="4" t="s">
        <v>14</v>
      </c>
      <c r="B7" s="19">
        <v>38988.44654308301</v>
      </c>
      <c r="C7" s="19">
        <v>39860.964977822827</v>
      </c>
      <c r="D7" s="19">
        <v>49775.252253986408</v>
      </c>
      <c r="E7" s="19">
        <v>43355.906342065806</v>
      </c>
      <c r="F7" s="19">
        <v>45506.799299514059</v>
      </c>
      <c r="G7" s="19">
        <v>29846.736120589871</v>
      </c>
      <c r="H7" s="19">
        <v>247334.10553706199</v>
      </c>
    </row>
    <row r="8" spans="1:8" x14ac:dyDescent="0.3">
      <c r="A8" s="4" t="s">
        <v>1037</v>
      </c>
      <c r="B8" s="19">
        <v>132948.66124229901</v>
      </c>
      <c r="C8" s="19">
        <v>120779.12698716967</v>
      </c>
      <c r="D8" s="19">
        <v>143356.06560908619</v>
      </c>
      <c r="E8" s="19">
        <v>143827.0249559581</v>
      </c>
      <c r="F8" s="19">
        <v>138177.31361343624</v>
      </c>
      <c r="G8" s="19">
        <v>109250.19534648862</v>
      </c>
      <c r="H8" s="19">
        <v>788338.38775443798</v>
      </c>
    </row>
    <row r="11" spans="1:8" x14ac:dyDescent="0.3">
      <c r="A11" s="3" t="s">
        <v>4</v>
      </c>
      <c r="B11" s="3" t="s">
        <v>5</v>
      </c>
      <c r="C11" t="s">
        <v>1044</v>
      </c>
      <c r="D11" t="s">
        <v>1065</v>
      </c>
      <c r="E11" t="s">
        <v>1066</v>
      </c>
      <c r="F11" t="s">
        <v>1067</v>
      </c>
    </row>
    <row r="12" spans="1:8" x14ac:dyDescent="0.3">
      <c r="A12" t="s">
        <v>26</v>
      </c>
      <c r="C12" s="19">
        <v>364687.63745750452</v>
      </c>
      <c r="D12" s="19">
        <v>745.7824896881483</v>
      </c>
      <c r="E12" s="19">
        <v>109406.2912372514</v>
      </c>
      <c r="F12" s="19">
        <v>489</v>
      </c>
    </row>
    <row r="13" spans="1:8" x14ac:dyDescent="0.3">
      <c r="B13" t="s">
        <v>22</v>
      </c>
      <c r="C13" s="19">
        <v>199156.7393023292</v>
      </c>
      <c r="D13" s="19">
        <v>796.62695720931674</v>
      </c>
      <c r="E13" s="19">
        <v>59747.021790698825</v>
      </c>
      <c r="F13" s="19">
        <v>250</v>
      </c>
    </row>
    <row r="14" spans="1:8" x14ac:dyDescent="0.3">
      <c r="B14" t="s">
        <v>17</v>
      </c>
      <c r="C14" s="19">
        <v>165530.89815517503</v>
      </c>
      <c r="D14" s="19">
        <v>692.59790023085793</v>
      </c>
      <c r="E14" s="19">
        <v>49659.269446552556</v>
      </c>
      <c r="F14" s="19">
        <v>239</v>
      </c>
    </row>
    <row r="15" spans="1:8" x14ac:dyDescent="0.3">
      <c r="A15" t="s">
        <v>16</v>
      </c>
      <c r="C15" s="19">
        <v>423650.75029693387</v>
      </c>
      <c r="D15" s="19">
        <v>829.06213365349095</v>
      </c>
      <c r="E15" s="19">
        <v>127095.22508908018</v>
      </c>
      <c r="F15" s="19">
        <v>511</v>
      </c>
    </row>
    <row r="16" spans="1:8" x14ac:dyDescent="0.3">
      <c r="B16" t="s">
        <v>22</v>
      </c>
      <c r="C16" s="19">
        <v>219656.31017376392</v>
      </c>
      <c r="D16" s="19">
        <v>835.19509571773358</v>
      </c>
      <c r="E16" s="19">
        <v>65896.893052129206</v>
      </c>
      <c r="F16" s="19">
        <v>263</v>
      </c>
    </row>
    <row r="17" spans="1:6" x14ac:dyDescent="0.3">
      <c r="B17" t="s">
        <v>17</v>
      </c>
      <c r="C17" s="19">
        <v>203994.44012316977</v>
      </c>
      <c r="D17" s="19">
        <v>822.55822630310388</v>
      </c>
      <c r="E17" s="19">
        <v>61198.332036951018</v>
      </c>
      <c r="F17" s="19">
        <v>248</v>
      </c>
    </row>
    <row r="18" spans="1:6" x14ac:dyDescent="0.3">
      <c r="A18" t="s">
        <v>1037</v>
      </c>
      <c r="C18" s="19">
        <v>788338.38775443868</v>
      </c>
      <c r="D18" s="19">
        <v>788.33838775443871</v>
      </c>
      <c r="E18" s="19">
        <v>236501.51632633159</v>
      </c>
      <c r="F18" s="19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8ABD9-C750-4D20-9223-AFF91F76B218}">
  <dimension ref="A1:P1001"/>
  <sheetViews>
    <sheetView topLeftCell="A977" workbookViewId="0">
      <selection activeCell="P3" sqref="P3"/>
    </sheetView>
  </sheetViews>
  <sheetFormatPr defaultRowHeight="14.4" x14ac:dyDescent="0.3"/>
  <cols>
    <col min="1" max="1" width="11.77734375" customWidth="1"/>
    <col min="2" max="2" width="8.77734375" customWidth="1"/>
    <col min="3" max="3" width="10" bestFit="1" customWidth="1"/>
    <col min="4" max="4" width="13.77734375" customWidth="1"/>
    <col min="5" max="5" width="16.109375" customWidth="1"/>
    <col min="6" max="6" width="9" customWidth="1"/>
    <col min="7" max="7" width="16.109375" bestFit="1" customWidth="1"/>
    <col min="8" max="8" width="10.33203125" bestFit="1" customWidth="1"/>
    <col min="9" max="9" width="12" bestFit="1" customWidth="1"/>
    <col min="10" max="10" width="10.21875" customWidth="1"/>
    <col min="11" max="11" width="15" customWidth="1"/>
    <col min="12" max="12" width="12" bestFit="1" customWidth="1"/>
    <col min="13" max="13" width="18.21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1033</v>
      </c>
      <c r="O1" t="s">
        <v>1032</v>
      </c>
      <c r="P1" t="s">
        <v>1044</v>
      </c>
    </row>
    <row r="2" spans="1:16" x14ac:dyDescent="0.3">
      <c r="A2" t="s">
        <v>13</v>
      </c>
      <c r="B2" t="s">
        <v>14</v>
      </c>
      <c r="C2" t="s">
        <v>15</v>
      </c>
      <c r="D2">
        <v>2316</v>
      </c>
      <c r="E2" t="s">
        <v>16</v>
      </c>
      <c r="F2" t="s">
        <v>17</v>
      </c>
      <c r="G2" t="s">
        <v>18</v>
      </c>
      <c r="H2" s="1">
        <v>45312</v>
      </c>
      <c r="I2">
        <v>155.31548527603701</v>
      </c>
      <c r="J2">
        <v>1</v>
      </c>
      <c r="K2">
        <v>155.31548527603701</v>
      </c>
      <c r="L2">
        <v>46.594645582811097</v>
      </c>
      <c r="M2" t="s">
        <v>19</v>
      </c>
      <c r="N2">
        <f>Supermarket_Sales_Case_Study[[#This Row],[Sales_Amount]]-Supermarket_Sales_Case_Study[[#This Row],[Profit]]</f>
        <v>108.72083969322591</v>
      </c>
      <c r="O2" s="2">
        <f>(Supermarket_Sales_Case_Study[[#This Row],[Sales_Amount]]-Supermarket_Sales_Case_Study[[#This Row],[Purchase]])/Supermarket_Sales_Case_Study[[#This Row],[Sales_Amount]]</f>
        <v>0.3</v>
      </c>
      <c r="P2">
        <f>Supermarket_Sales_Case_Study[[#This Row],[Quantity]]*Supermarket_Sales_Case_Study[[#This Row],[Sales_Amount]]</f>
        <v>155.31548527603701</v>
      </c>
    </row>
    <row r="3" spans="1:16" x14ac:dyDescent="0.3">
      <c r="A3" t="s">
        <v>20</v>
      </c>
      <c r="B3" t="s">
        <v>21</v>
      </c>
      <c r="C3" t="s">
        <v>15</v>
      </c>
      <c r="D3">
        <v>1737</v>
      </c>
      <c r="E3" t="s">
        <v>16</v>
      </c>
      <c r="F3" t="s">
        <v>22</v>
      </c>
      <c r="G3" t="s">
        <v>23</v>
      </c>
      <c r="H3" s="1">
        <v>45351</v>
      </c>
      <c r="I3">
        <v>214.79602305937399</v>
      </c>
      <c r="J3">
        <v>8</v>
      </c>
      <c r="K3">
        <v>1718.3681844749899</v>
      </c>
      <c r="L3">
        <v>515.51045534249704</v>
      </c>
      <c r="M3" t="s">
        <v>24</v>
      </c>
      <c r="N3">
        <f>Supermarket_Sales_Case_Study[[#This Row],[Sales_Amount]]-Supermarket_Sales_Case_Study[[#This Row],[Profit]]</f>
        <v>1202.8577291324928</v>
      </c>
      <c r="O3" s="2">
        <f>(Supermarket_Sales_Case_Study[[#This Row],[Sales_Amount]]-Supermarket_Sales_Case_Study[[#This Row],[Purchase]])/Supermarket_Sales_Case_Study[[#This Row],[Sales_Amount]]</f>
        <v>0.3000000000000001</v>
      </c>
      <c r="P3">
        <f>Supermarket_Sales_Case_Study[[#This Row],[Quantity]]*Supermarket_Sales_Case_Study[[#This Row],[Sales_Amount]]</f>
        <v>13746.945475799919</v>
      </c>
    </row>
    <row r="4" spans="1:16" x14ac:dyDescent="0.3">
      <c r="A4" t="s">
        <v>25</v>
      </c>
      <c r="B4" t="s">
        <v>14</v>
      </c>
      <c r="C4" t="s">
        <v>15</v>
      </c>
      <c r="D4">
        <v>2030</v>
      </c>
      <c r="E4" t="s">
        <v>26</v>
      </c>
      <c r="F4" t="s">
        <v>17</v>
      </c>
      <c r="G4" t="s">
        <v>18</v>
      </c>
      <c r="H4" s="1">
        <v>45372</v>
      </c>
      <c r="I4">
        <v>164.94426004916599</v>
      </c>
      <c r="J4">
        <v>4</v>
      </c>
      <c r="K4">
        <v>659.77704019666396</v>
      </c>
      <c r="L4">
        <v>197.933112058999</v>
      </c>
      <c r="M4" t="s">
        <v>24</v>
      </c>
      <c r="N4">
        <f>Supermarket_Sales_Case_Study[[#This Row],[Sales_Amount]]-Supermarket_Sales_Case_Study[[#This Row],[Profit]]</f>
        <v>461.84392813766499</v>
      </c>
      <c r="O4" s="2">
        <f>(Supermarket_Sales_Case_Study[[#This Row],[Sales_Amount]]-Supermarket_Sales_Case_Study[[#This Row],[Purchase]])/Supermarket_Sales_Case_Study[[#This Row],[Sales_Amount]]</f>
        <v>0.29999999999999966</v>
      </c>
      <c r="P4">
        <f>Supermarket_Sales_Case_Study[[#This Row],[Quantity]]*Supermarket_Sales_Case_Study[[#This Row],[Sales_Amount]]</f>
        <v>2639.1081607866558</v>
      </c>
    </row>
    <row r="5" spans="1:16" x14ac:dyDescent="0.3">
      <c r="A5" t="s">
        <v>27</v>
      </c>
      <c r="B5" t="s">
        <v>14</v>
      </c>
      <c r="C5" t="s">
        <v>15</v>
      </c>
      <c r="D5">
        <v>1638</v>
      </c>
      <c r="E5" t="s">
        <v>16</v>
      </c>
      <c r="F5" t="s">
        <v>22</v>
      </c>
      <c r="G5" t="s">
        <v>28</v>
      </c>
      <c r="H5" s="1">
        <v>45365</v>
      </c>
      <c r="I5">
        <v>166.81302446859999</v>
      </c>
      <c r="J5">
        <v>5</v>
      </c>
      <c r="K5">
        <v>834.06512234300101</v>
      </c>
      <c r="L5">
        <v>250.2195367029</v>
      </c>
      <c r="M5" t="s">
        <v>19</v>
      </c>
      <c r="N5">
        <f>Supermarket_Sales_Case_Study[[#This Row],[Sales_Amount]]-Supermarket_Sales_Case_Study[[#This Row],[Profit]]</f>
        <v>583.84558564010104</v>
      </c>
      <c r="O5" s="2">
        <f>(Supermarket_Sales_Case_Study[[#This Row],[Sales_Amount]]-Supermarket_Sales_Case_Study[[#This Row],[Purchase]])/Supermarket_Sales_Case_Study[[#This Row],[Sales_Amount]]</f>
        <v>0.2999999999999996</v>
      </c>
      <c r="P5">
        <f>Supermarket_Sales_Case_Study[[#This Row],[Quantity]]*Supermarket_Sales_Case_Study[[#This Row],[Sales_Amount]]</f>
        <v>4170.3256117150049</v>
      </c>
    </row>
    <row r="6" spans="1:16" x14ac:dyDescent="0.3">
      <c r="A6" t="s">
        <v>29</v>
      </c>
      <c r="B6" t="s">
        <v>21</v>
      </c>
      <c r="C6" t="s">
        <v>30</v>
      </c>
      <c r="D6">
        <v>1935</v>
      </c>
      <c r="E6" t="s">
        <v>26</v>
      </c>
      <c r="F6" t="s">
        <v>17</v>
      </c>
      <c r="G6" t="s">
        <v>31</v>
      </c>
      <c r="H6" s="1">
        <v>45354</v>
      </c>
      <c r="I6">
        <v>134.582823637058</v>
      </c>
      <c r="J6">
        <v>8</v>
      </c>
      <c r="K6">
        <v>1076.6625890964699</v>
      </c>
      <c r="L6">
        <v>322.99877672894098</v>
      </c>
      <c r="M6" t="s">
        <v>19</v>
      </c>
      <c r="N6">
        <f>Supermarket_Sales_Case_Study[[#This Row],[Sales_Amount]]-Supermarket_Sales_Case_Study[[#This Row],[Profit]]</f>
        <v>753.66381236752886</v>
      </c>
      <c r="O6" s="2">
        <f>(Supermarket_Sales_Case_Study[[#This Row],[Sales_Amount]]-Supermarket_Sales_Case_Study[[#This Row],[Purchase]])/Supermarket_Sales_Case_Study[[#This Row],[Sales_Amount]]</f>
        <v>0.30000000000000004</v>
      </c>
      <c r="P6">
        <f>Supermarket_Sales_Case_Study[[#This Row],[Quantity]]*Supermarket_Sales_Case_Study[[#This Row],[Sales_Amount]]</f>
        <v>8613.3007127717592</v>
      </c>
    </row>
    <row r="7" spans="1:16" x14ac:dyDescent="0.3">
      <c r="A7" t="s">
        <v>32</v>
      </c>
      <c r="B7" t="s">
        <v>21</v>
      </c>
      <c r="C7" t="s">
        <v>15</v>
      </c>
      <c r="D7">
        <v>2115</v>
      </c>
      <c r="E7" t="s">
        <v>26</v>
      </c>
      <c r="F7" t="s">
        <v>22</v>
      </c>
      <c r="G7" t="s">
        <v>33</v>
      </c>
      <c r="H7" s="1">
        <v>45333</v>
      </c>
      <c r="I7">
        <v>99.561982962128795</v>
      </c>
      <c r="J7">
        <v>5</v>
      </c>
      <c r="K7">
        <v>497.80991481064399</v>
      </c>
      <c r="L7">
        <v>149.34297444319299</v>
      </c>
      <c r="M7" t="s">
        <v>34</v>
      </c>
      <c r="N7">
        <f>Supermarket_Sales_Case_Study[[#This Row],[Sales_Amount]]-Supermarket_Sales_Case_Study[[#This Row],[Profit]]</f>
        <v>348.466940367451</v>
      </c>
      <c r="O7" s="2">
        <f>(Supermarket_Sales_Case_Study[[#This Row],[Sales_Amount]]-Supermarket_Sales_Case_Study[[#This Row],[Purchase]])/Supermarket_Sales_Case_Study[[#This Row],[Sales_Amount]]</f>
        <v>0.2999999999999996</v>
      </c>
      <c r="P7">
        <f>Supermarket_Sales_Case_Study[[#This Row],[Quantity]]*Supermarket_Sales_Case_Study[[#This Row],[Sales_Amount]]</f>
        <v>2489.0495740532201</v>
      </c>
    </row>
    <row r="8" spans="1:16" x14ac:dyDescent="0.3">
      <c r="A8" t="s">
        <v>35</v>
      </c>
      <c r="B8" t="s">
        <v>14</v>
      </c>
      <c r="C8" t="s">
        <v>36</v>
      </c>
      <c r="D8">
        <v>2213</v>
      </c>
      <c r="E8" t="s">
        <v>26</v>
      </c>
      <c r="F8" t="s">
        <v>22</v>
      </c>
      <c r="G8" t="s">
        <v>37</v>
      </c>
      <c r="H8" s="1">
        <v>45342</v>
      </c>
      <c r="I8">
        <v>149.856664763135</v>
      </c>
      <c r="J8">
        <v>4</v>
      </c>
      <c r="K8">
        <v>599.42665905254296</v>
      </c>
      <c r="L8">
        <v>179.827997715762</v>
      </c>
      <c r="M8" t="s">
        <v>34</v>
      </c>
      <c r="N8">
        <f>Supermarket_Sales_Case_Study[[#This Row],[Sales_Amount]]-Supermarket_Sales_Case_Study[[#This Row],[Profit]]</f>
        <v>419.59866133678099</v>
      </c>
      <c r="O8" s="2">
        <f>(Supermarket_Sales_Case_Study[[#This Row],[Sales_Amount]]-Supermarket_Sales_Case_Study[[#This Row],[Purchase]])/Supermarket_Sales_Case_Study[[#This Row],[Sales_Amount]]</f>
        <v>0.29999999999999849</v>
      </c>
      <c r="P8">
        <f>Supermarket_Sales_Case_Study[[#This Row],[Quantity]]*Supermarket_Sales_Case_Study[[#This Row],[Sales_Amount]]</f>
        <v>2397.7066362101718</v>
      </c>
    </row>
    <row r="9" spans="1:16" x14ac:dyDescent="0.3">
      <c r="A9" t="s">
        <v>38</v>
      </c>
      <c r="B9" t="s">
        <v>39</v>
      </c>
      <c r="C9" t="s">
        <v>36</v>
      </c>
      <c r="D9">
        <v>1475</v>
      </c>
      <c r="E9" t="s">
        <v>26</v>
      </c>
      <c r="F9" t="s">
        <v>17</v>
      </c>
      <c r="G9" t="s">
        <v>37</v>
      </c>
      <c r="H9" s="1">
        <v>45355</v>
      </c>
      <c r="I9">
        <v>44.362784042836097</v>
      </c>
      <c r="J9">
        <v>6</v>
      </c>
      <c r="K9">
        <v>266.17670425701698</v>
      </c>
      <c r="L9">
        <v>79.853011277105097</v>
      </c>
      <c r="M9" t="s">
        <v>34</v>
      </c>
      <c r="N9">
        <f>Supermarket_Sales_Case_Study[[#This Row],[Sales_Amount]]-Supermarket_Sales_Case_Study[[#This Row],[Profit]]</f>
        <v>186.32369297991187</v>
      </c>
      <c r="O9" s="2">
        <f>(Supermarket_Sales_Case_Study[[#This Row],[Sales_Amount]]-Supermarket_Sales_Case_Study[[#This Row],[Purchase]])/Supermarket_Sales_Case_Study[[#This Row],[Sales_Amount]]</f>
        <v>0.30000000000000004</v>
      </c>
      <c r="P9">
        <f>Supermarket_Sales_Case_Study[[#This Row],[Quantity]]*Supermarket_Sales_Case_Study[[#This Row],[Sales_Amount]]</f>
        <v>1597.0602255421018</v>
      </c>
    </row>
    <row r="10" spans="1:16" x14ac:dyDescent="0.3">
      <c r="A10" t="s">
        <v>40</v>
      </c>
      <c r="B10" t="s">
        <v>14</v>
      </c>
      <c r="C10" t="s">
        <v>15</v>
      </c>
      <c r="D10">
        <v>2485</v>
      </c>
      <c r="E10" t="s">
        <v>16</v>
      </c>
      <c r="F10" t="s">
        <v>22</v>
      </c>
      <c r="G10" t="s">
        <v>28</v>
      </c>
      <c r="H10" s="1">
        <v>45367</v>
      </c>
      <c r="I10">
        <v>288.83886830509402</v>
      </c>
      <c r="J10">
        <v>5</v>
      </c>
      <c r="K10">
        <v>1444.19434152547</v>
      </c>
      <c r="L10">
        <v>433.25830245764098</v>
      </c>
      <c r="M10" t="s">
        <v>19</v>
      </c>
      <c r="N10">
        <f>Supermarket_Sales_Case_Study[[#This Row],[Sales_Amount]]-Supermarket_Sales_Case_Study[[#This Row],[Profit]]</f>
        <v>1010.936039067829</v>
      </c>
      <c r="O10" s="2">
        <f>(Supermarket_Sales_Case_Study[[#This Row],[Sales_Amount]]-Supermarket_Sales_Case_Study[[#This Row],[Purchase]])/Supermarket_Sales_Case_Study[[#This Row],[Sales_Amount]]</f>
        <v>0.3</v>
      </c>
      <c r="P10">
        <f>Supermarket_Sales_Case_Study[[#This Row],[Quantity]]*Supermarket_Sales_Case_Study[[#This Row],[Sales_Amount]]</f>
        <v>7220.97170762735</v>
      </c>
    </row>
    <row r="11" spans="1:16" x14ac:dyDescent="0.3">
      <c r="A11" t="s">
        <v>41</v>
      </c>
      <c r="B11" t="s">
        <v>14</v>
      </c>
      <c r="C11" t="s">
        <v>15</v>
      </c>
      <c r="D11">
        <v>1052</v>
      </c>
      <c r="E11" t="s">
        <v>26</v>
      </c>
      <c r="F11" t="s">
        <v>22</v>
      </c>
      <c r="G11" t="s">
        <v>31</v>
      </c>
      <c r="H11" s="1">
        <v>45347</v>
      </c>
      <c r="I11">
        <v>217.179121451713</v>
      </c>
      <c r="J11">
        <v>7</v>
      </c>
      <c r="K11">
        <v>1520.2538501619899</v>
      </c>
      <c r="L11">
        <v>456.07615504859803</v>
      </c>
      <c r="M11" t="s">
        <v>19</v>
      </c>
      <c r="N11">
        <f>Supermarket_Sales_Case_Study[[#This Row],[Sales_Amount]]-Supermarket_Sales_Case_Study[[#This Row],[Profit]]</f>
        <v>1064.177695113392</v>
      </c>
      <c r="O11" s="2">
        <f>(Supermarket_Sales_Case_Study[[#This Row],[Sales_Amount]]-Supermarket_Sales_Case_Study[[#This Row],[Purchase]])/Supermarket_Sales_Case_Study[[#This Row],[Sales_Amount]]</f>
        <v>0.3000000000000006</v>
      </c>
      <c r="P11">
        <f>Supermarket_Sales_Case_Study[[#This Row],[Quantity]]*Supermarket_Sales_Case_Study[[#This Row],[Sales_Amount]]</f>
        <v>10641.77695113393</v>
      </c>
    </row>
    <row r="12" spans="1:16" x14ac:dyDescent="0.3">
      <c r="A12" t="s">
        <v>42</v>
      </c>
      <c r="B12" t="s">
        <v>14</v>
      </c>
      <c r="C12" t="s">
        <v>36</v>
      </c>
      <c r="D12">
        <v>1753</v>
      </c>
      <c r="E12" t="s">
        <v>16</v>
      </c>
      <c r="F12" t="s">
        <v>17</v>
      </c>
      <c r="G12" t="s">
        <v>23</v>
      </c>
      <c r="H12" s="1">
        <v>45371</v>
      </c>
      <c r="I12">
        <v>286.21546383947498</v>
      </c>
      <c r="J12">
        <v>7</v>
      </c>
      <c r="K12">
        <v>2003.5082468763201</v>
      </c>
      <c r="L12">
        <v>601.052474062898</v>
      </c>
      <c r="M12" t="s">
        <v>19</v>
      </c>
      <c r="N12">
        <f>Supermarket_Sales_Case_Study[[#This Row],[Sales_Amount]]-Supermarket_Sales_Case_Study[[#This Row],[Profit]]</f>
        <v>1402.4557728134221</v>
      </c>
      <c r="O12" s="2">
        <f>(Supermarket_Sales_Case_Study[[#This Row],[Sales_Amount]]-Supermarket_Sales_Case_Study[[#This Row],[Purchase]])/Supermarket_Sales_Case_Study[[#This Row],[Sales_Amount]]</f>
        <v>0.30000000000000099</v>
      </c>
      <c r="P12">
        <f>Supermarket_Sales_Case_Study[[#This Row],[Quantity]]*Supermarket_Sales_Case_Study[[#This Row],[Sales_Amount]]</f>
        <v>14024.557728134241</v>
      </c>
    </row>
    <row r="13" spans="1:16" x14ac:dyDescent="0.3">
      <c r="A13" t="s">
        <v>43</v>
      </c>
      <c r="B13" t="s">
        <v>14</v>
      </c>
      <c r="C13" t="s">
        <v>36</v>
      </c>
      <c r="D13">
        <v>1485</v>
      </c>
      <c r="E13" t="s">
        <v>16</v>
      </c>
      <c r="F13" t="s">
        <v>22</v>
      </c>
      <c r="G13" t="s">
        <v>18</v>
      </c>
      <c r="H13" s="1">
        <v>45332</v>
      </c>
      <c r="I13">
        <v>75.750940875689295</v>
      </c>
      <c r="J13">
        <v>4</v>
      </c>
      <c r="K13">
        <v>303.00376350275701</v>
      </c>
      <c r="L13">
        <v>90.901129050827194</v>
      </c>
      <c r="M13" t="s">
        <v>34</v>
      </c>
      <c r="N13">
        <f>Supermarket_Sales_Case_Study[[#This Row],[Sales_Amount]]-Supermarket_Sales_Case_Study[[#This Row],[Profit]]</f>
        <v>212.10263445192982</v>
      </c>
      <c r="O13" s="2">
        <f>(Supermarket_Sales_Case_Study[[#This Row],[Sales_Amount]]-Supermarket_Sales_Case_Study[[#This Row],[Purchase]])/Supermarket_Sales_Case_Study[[#This Row],[Sales_Amount]]</f>
        <v>0.30000000000000032</v>
      </c>
      <c r="P13">
        <f>Supermarket_Sales_Case_Study[[#This Row],[Quantity]]*Supermarket_Sales_Case_Study[[#This Row],[Sales_Amount]]</f>
        <v>1212.015054011028</v>
      </c>
    </row>
    <row r="14" spans="1:16" x14ac:dyDescent="0.3">
      <c r="A14" t="s">
        <v>44</v>
      </c>
      <c r="B14" t="s">
        <v>21</v>
      </c>
      <c r="C14" t="s">
        <v>30</v>
      </c>
      <c r="D14">
        <v>2387</v>
      </c>
      <c r="E14" t="s">
        <v>16</v>
      </c>
      <c r="F14" t="s">
        <v>22</v>
      </c>
      <c r="G14" t="s">
        <v>18</v>
      </c>
      <c r="H14" s="1">
        <v>45323</v>
      </c>
      <c r="I14">
        <v>265.00889585119302</v>
      </c>
      <c r="J14">
        <v>5</v>
      </c>
      <c r="K14">
        <v>1325.0444792559599</v>
      </c>
      <c r="L14">
        <v>397.51334377678899</v>
      </c>
      <c r="M14" t="s">
        <v>19</v>
      </c>
      <c r="N14">
        <f>Supermarket_Sales_Case_Study[[#This Row],[Sales_Amount]]-Supermarket_Sales_Case_Study[[#This Row],[Profit]]</f>
        <v>927.53113547917087</v>
      </c>
      <c r="O14" s="2">
        <f>(Supermarket_Sales_Case_Study[[#This Row],[Sales_Amount]]-Supermarket_Sales_Case_Study[[#This Row],[Purchase]])/Supermarket_Sales_Case_Study[[#This Row],[Sales_Amount]]</f>
        <v>0.30000000000000082</v>
      </c>
      <c r="P14">
        <f>Supermarket_Sales_Case_Study[[#This Row],[Quantity]]*Supermarket_Sales_Case_Study[[#This Row],[Sales_Amount]]</f>
        <v>6625.2223962797998</v>
      </c>
    </row>
    <row r="15" spans="1:16" x14ac:dyDescent="0.3">
      <c r="A15" t="s">
        <v>45</v>
      </c>
      <c r="B15" t="s">
        <v>14</v>
      </c>
      <c r="C15" t="s">
        <v>36</v>
      </c>
      <c r="D15">
        <v>2135</v>
      </c>
      <c r="E15" t="s">
        <v>16</v>
      </c>
      <c r="F15" t="s">
        <v>22</v>
      </c>
      <c r="G15" t="s">
        <v>18</v>
      </c>
      <c r="H15" s="1">
        <v>45306</v>
      </c>
      <c r="I15">
        <v>244.54909552342599</v>
      </c>
      <c r="J15">
        <v>3</v>
      </c>
      <c r="K15">
        <v>733.64728657027797</v>
      </c>
      <c r="L15">
        <v>220.09418597108299</v>
      </c>
      <c r="M15" t="s">
        <v>24</v>
      </c>
      <c r="N15">
        <f>Supermarket_Sales_Case_Study[[#This Row],[Sales_Amount]]-Supermarket_Sales_Case_Study[[#This Row],[Profit]]</f>
        <v>513.55310059919498</v>
      </c>
      <c r="O15" s="2">
        <f>(Supermarket_Sales_Case_Study[[#This Row],[Sales_Amount]]-Supermarket_Sales_Case_Study[[#This Row],[Purchase]])/Supermarket_Sales_Case_Study[[#This Row],[Sales_Amount]]</f>
        <v>0.29999999999999943</v>
      </c>
      <c r="P15">
        <f>Supermarket_Sales_Case_Study[[#This Row],[Quantity]]*Supermarket_Sales_Case_Study[[#This Row],[Sales_Amount]]</f>
        <v>2200.9418597108338</v>
      </c>
    </row>
    <row r="16" spans="1:16" x14ac:dyDescent="0.3">
      <c r="A16" t="s">
        <v>46</v>
      </c>
      <c r="B16" t="s">
        <v>39</v>
      </c>
      <c r="C16" t="s">
        <v>36</v>
      </c>
      <c r="D16">
        <v>1408</v>
      </c>
      <c r="E16" t="s">
        <v>26</v>
      </c>
      <c r="F16" t="s">
        <v>17</v>
      </c>
      <c r="G16" t="s">
        <v>23</v>
      </c>
      <c r="H16" s="1">
        <v>45353</v>
      </c>
      <c r="I16">
        <v>206.37419961272499</v>
      </c>
      <c r="J16">
        <v>4</v>
      </c>
      <c r="K16">
        <v>825.496798450901</v>
      </c>
      <c r="L16">
        <v>247.64903953526999</v>
      </c>
      <c r="M16" t="s">
        <v>19</v>
      </c>
      <c r="N16">
        <f>Supermarket_Sales_Case_Study[[#This Row],[Sales_Amount]]-Supermarket_Sales_Case_Study[[#This Row],[Profit]]</f>
        <v>577.84775891563095</v>
      </c>
      <c r="O16" s="2">
        <f>(Supermarket_Sales_Case_Study[[#This Row],[Sales_Amount]]-Supermarket_Sales_Case_Study[[#This Row],[Purchase]])/Supermarket_Sales_Case_Study[[#This Row],[Sales_Amount]]</f>
        <v>0.29999999999999971</v>
      </c>
      <c r="P16">
        <f>Supermarket_Sales_Case_Study[[#This Row],[Quantity]]*Supermarket_Sales_Case_Study[[#This Row],[Sales_Amount]]</f>
        <v>3301.987193803604</v>
      </c>
    </row>
    <row r="17" spans="1:16" x14ac:dyDescent="0.3">
      <c r="A17" t="s">
        <v>47</v>
      </c>
      <c r="B17" t="s">
        <v>21</v>
      </c>
      <c r="C17" t="s">
        <v>15</v>
      </c>
      <c r="D17">
        <v>2030</v>
      </c>
      <c r="E17" t="s">
        <v>16</v>
      </c>
      <c r="F17" t="s">
        <v>17</v>
      </c>
      <c r="G17" t="s">
        <v>37</v>
      </c>
      <c r="H17" s="1">
        <v>45318</v>
      </c>
      <c r="I17">
        <v>191.25846396470899</v>
      </c>
      <c r="J17">
        <v>4</v>
      </c>
      <c r="K17">
        <v>765.03385585883802</v>
      </c>
      <c r="L17">
        <v>229.510156757651</v>
      </c>
      <c r="M17" t="s">
        <v>19</v>
      </c>
      <c r="N17">
        <f>Supermarket_Sales_Case_Study[[#This Row],[Sales_Amount]]-Supermarket_Sales_Case_Study[[#This Row],[Profit]]</f>
        <v>535.52369910118705</v>
      </c>
      <c r="O17" s="2">
        <f>(Supermarket_Sales_Case_Study[[#This Row],[Sales_Amount]]-Supermarket_Sales_Case_Study[[#This Row],[Purchase]])/Supermarket_Sales_Case_Study[[#This Row],[Sales_Amount]]</f>
        <v>0.29999999999999943</v>
      </c>
      <c r="P17">
        <f>Supermarket_Sales_Case_Study[[#This Row],[Quantity]]*Supermarket_Sales_Case_Study[[#This Row],[Sales_Amount]]</f>
        <v>3060.1354234353521</v>
      </c>
    </row>
    <row r="18" spans="1:16" x14ac:dyDescent="0.3">
      <c r="A18" t="s">
        <v>48</v>
      </c>
      <c r="B18" t="s">
        <v>39</v>
      </c>
      <c r="C18" t="s">
        <v>36</v>
      </c>
      <c r="D18">
        <v>1667</v>
      </c>
      <c r="E18" t="s">
        <v>26</v>
      </c>
      <c r="F18" t="s">
        <v>22</v>
      </c>
      <c r="G18" t="s">
        <v>31</v>
      </c>
      <c r="H18" s="1">
        <v>45319</v>
      </c>
      <c r="I18">
        <v>101.799402927682</v>
      </c>
      <c r="J18">
        <v>3</v>
      </c>
      <c r="K18">
        <v>305.39820878304602</v>
      </c>
      <c r="L18">
        <v>91.619462634914001</v>
      </c>
      <c r="M18" t="s">
        <v>19</v>
      </c>
      <c r="N18">
        <f>Supermarket_Sales_Case_Study[[#This Row],[Sales_Amount]]-Supermarket_Sales_Case_Study[[#This Row],[Profit]]</f>
        <v>213.77874614813203</v>
      </c>
      <c r="O18" s="2">
        <f>(Supermarket_Sales_Case_Study[[#This Row],[Sales_Amount]]-Supermarket_Sales_Case_Study[[#This Row],[Purchase]])/Supermarket_Sales_Case_Study[[#This Row],[Sales_Amount]]</f>
        <v>0.3000000000000006</v>
      </c>
      <c r="P18">
        <f>Supermarket_Sales_Case_Study[[#This Row],[Quantity]]*Supermarket_Sales_Case_Study[[#This Row],[Sales_Amount]]</f>
        <v>916.19462634913805</v>
      </c>
    </row>
    <row r="19" spans="1:16" x14ac:dyDescent="0.3">
      <c r="A19" t="s">
        <v>49</v>
      </c>
      <c r="B19" t="s">
        <v>39</v>
      </c>
      <c r="C19" t="s">
        <v>30</v>
      </c>
      <c r="D19">
        <v>2220</v>
      </c>
      <c r="E19" t="s">
        <v>16</v>
      </c>
      <c r="F19" t="s">
        <v>17</v>
      </c>
      <c r="G19" t="s">
        <v>23</v>
      </c>
      <c r="H19" s="1">
        <v>45372</v>
      </c>
      <c r="I19">
        <v>246.75912763985801</v>
      </c>
      <c r="J19">
        <v>5</v>
      </c>
      <c r="K19">
        <v>1233.7956381992899</v>
      </c>
      <c r="L19">
        <v>370.13869145978799</v>
      </c>
      <c r="M19" t="s">
        <v>19</v>
      </c>
      <c r="N19">
        <f>Supermarket_Sales_Case_Study[[#This Row],[Sales_Amount]]-Supermarket_Sales_Case_Study[[#This Row],[Profit]]</f>
        <v>863.6569467395019</v>
      </c>
      <c r="O19" s="2">
        <f>(Supermarket_Sales_Case_Study[[#This Row],[Sales_Amount]]-Supermarket_Sales_Case_Study[[#This Row],[Purchase]])/Supermarket_Sales_Case_Study[[#This Row],[Sales_Amount]]</f>
        <v>0.30000000000000082</v>
      </c>
      <c r="P19">
        <f>Supermarket_Sales_Case_Study[[#This Row],[Quantity]]*Supermarket_Sales_Case_Study[[#This Row],[Sales_Amount]]</f>
        <v>6168.9781909964495</v>
      </c>
    </row>
    <row r="20" spans="1:16" x14ac:dyDescent="0.3">
      <c r="A20" t="s">
        <v>50</v>
      </c>
      <c r="B20" t="s">
        <v>39</v>
      </c>
      <c r="C20" t="s">
        <v>36</v>
      </c>
      <c r="D20">
        <v>1834</v>
      </c>
      <c r="E20" t="s">
        <v>16</v>
      </c>
      <c r="F20" t="s">
        <v>22</v>
      </c>
      <c r="G20" t="s">
        <v>18</v>
      </c>
      <c r="H20" s="1">
        <v>45355</v>
      </c>
      <c r="I20">
        <v>155.439483829122</v>
      </c>
      <c r="J20">
        <v>5</v>
      </c>
      <c r="K20">
        <v>777.19741914561303</v>
      </c>
      <c r="L20">
        <v>233.159225743684</v>
      </c>
      <c r="M20" t="s">
        <v>19</v>
      </c>
      <c r="N20">
        <f>Supermarket_Sales_Case_Study[[#This Row],[Sales_Amount]]-Supermarket_Sales_Case_Study[[#This Row],[Profit]]</f>
        <v>544.03819340192899</v>
      </c>
      <c r="O20" s="2">
        <f>(Supermarket_Sales_Case_Study[[#This Row],[Sales_Amount]]-Supermarket_Sales_Case_Study[[#This Row],[Purchase]])/Supermarket_Sales_Case_Study[[#This Row],[Sales_Amount]]</f>
        <v>0.30000000000000016</v>
      </c>
      <c r="P20">
        <f>Supermarket_Sales_Case_Study[[#This Row],[Quantity]]*Supermarket_Sales_Case_Study[[#This Row],[Sales_Amount]]</f>
        <v>3885.987095728065</v>
      </c>
    </row>
    <row r="21" spans="1:16" x14ac:dyDescent="0.3">
      <c r="A21" t="s">
        <v>51</v>
      </c>
      <c r="B21" t="s">
        <v>39</v>
      </c>
      <c r="C21" t="s">
        <v>15</v>
      </c>
      <c r="D21">
        <v>1875</v>
      </c>
      <c r="E21" t="s">
        <v>26</v>
      </c>
      <c r="F21" t="s">
        <v>22</v>
      </c>
      <c r="G21" t="s">
        <v>28</v>
      </c>
      <c r="H21" s="1">
        <v>45350</v>
      </c>
      <c r="I21">
        <v>30.5585570084727</v>
      </c>
      <c r="J21">
        <v>7</v>
      </c>
      <c r="K21">
        <v>213.909899059309</v>
      </c>
      <c r="L21">
        <v>64.172969717792697</v>
      </c>
      <c r="M21" t="s">
        <v>24</v>
      </c>
      <c r="N21">
        <f>Supermarket_Sales_Case_Study[[#This Row],[Sales_Amount]]-Supermarket_Sales_Case_Study[[#This Row],[Profit]]</f>
        <v>149.73692934151632</v>
      </c>
      <c r="O21" s="2">
        <f>(Supermarket_Sales_Case_Study[[#This Row],[Sales_Amount]]-Supermarket_Sales_Case_Study[[#This Row],[Purchase]])/Supermarket_Sales_Case_Study[[#This Row],[Sales_Amount]]</f>
        <v>0.29999999999999993</v>
      </c>
      <c r="P21">
        <f>Supermarket_Sales_Case_Study[[#This Row],[Quantity]]*Supermarket_Sales_Case_Study[[#This Row],[Sales_Amount]]</f>
        <v>1497.3692934151629</v>
      </c>
    </row>
    <row r="22" spans="1:16" x14ac:dyDescent="0.3">
      <c r="A22" t="s">
        <v>52</v>
      </c>
      <c r="B22" t="s">
        <v>21</v>
      </c>
      <c r="C22" t="s">
        <v>15</v>
      </c>
      <c r="D22">
        <v>1366</v>
      </c>
      <c r="E22" t="s">
        <v>26</v>
      </c>
      <c r="F22" t="s">
        <v>22</v>
      </c>
      <c r="G22" t="s">
        <v>33</v>
      </c>
      <c r="H22" s="1">
        <v>45349</v>
      </c>
      <c r="I22">
        <v>100.730316647987</v>
      </c>
      <c r="J22">
        <v>4</v>
      </c>
      <c r="K22">
        <v>402.92126659194997</v>
      </c>
      <c r="L22">
        <v>120.876379977585</v>
      </c>
      <c r="M22" t="s">
        <v>24</v>
      </c>
      <c r="N22">
        <f>Supermarket_Sales_Case_Study[[#This Row],[Sales_Amount]]-Supermarket_Sales_Case_Study[[#This Row],[Profit]]</f>
        <v>282.04488661436494</v>
      </c>
      <c r="O22" s="2">
        <f>(Supermarket_Sales_Case_Study[[#This Row],[Sales_Amount]]-Supermarket_Sales_Case_Study[[#This Row],[Purchase]])/Supermarket_Sales_Case_Study[[#This Row],[Sales_Amount]]</f>
        <v>0.3000000000000001</v>
      </c>
      <c r="P22">
        <f>Supermarket_Sales_Case_Study[[#This Row],[Quantity]]*Supermarket_Sales_Case_Study[[#This Row],[Sales_Amount]]</f>
        <v>1611.6850663677999</v>
      </c>
    </row>
    <row r="23" spans="1:16" x14ac:dyDescent="0.3">
      <c r="A23" t="s">
        <v>53</v>
      </c>
      <c r="B23" t="s">
        <v>21</v>
      </c>
      <c r="C23" t="s">
        <v>36</v>
      </c>
      <c r="D23">
        <v>2001</v>
      </c>
      <c r="E23" t="s">
        <v>26</v>
      </c>
      <c r="F23" t="s">
        <v>22</v>
      </c>
      <c r="G23" t="s">
        <v>23</v>
      </c>
      <c r="H23" s="1">
        <v>45293</v>
      </c>
      <c r="I23">
        <v>281.23615857814502</v>
      </c>
      <c r="J23">
        <v>4</v>
      </c>
      <c r="K23">
        <v>1124.9446343125801</v>
      </c>
      <c r="L23">
        <v>337.48339029377399</v>
      </c>
      <c r="M23" t="s">
        <v>19</v>
      </c>
      <c r="N23">
        <f>Supermarket_Sales_Case_Study[[#This Row],[Sales_Amount]]-Supermarket_Sales_Case_Study[[#This Row],[Profit]]</f>
        <v>787.46124401880616</v>
      </c>
      <c r="O23" s="2">
        <f>(Supermarket_Sales_Case_Study[[#This Row],[Sales_Amount]]-Supermarket_Sales_Case_Study[[#This Row],[Purchase]])/Supermarket_Sales_Case_Study[[#This Row],[Sales_Amount]]</f>
        <v>0.29999999999999993</v>
      </c>
      <c r="P23">
        <f>Supermarket_Sales_Case_Study[[#This Row],[Quantity]]*Supermarket_Sales_Case_Study[[#This Row],[Sales_Amount]]</f>
        <v>4499.7785372503204</v>
      </c>
    </row>
    <row r="24" spans="1:16" x14ac:dyDescent="0.3">
      <c r="A24" t="s">
        <v>54</v>
      </c>
      <c r="B24" t="s">
        <v>39</v>
      </c>
      <c r="C24" t="s">
        <v>15</v>
      </c>
      <c r="D24">
        <v>1249</v>
      </c>
      <c r="E24" t="s">
        <v>16</v>
      </c>
      <c r="F24" t="s">
        <v>22</v>
      </c>
      <c r="G24" t="s">
        <v>23</v>
      </c>
      <c r="H24" s="1">
        <v>45327</v>
      </c>
      <c r="I24">
        <v>256.697275575405</v>
      </c>
      <c r="J24">
        <v>9</v>
      </c>
      <c r="K24">
        <v>2310.27548017864</v>
      </c>
      <c r="L24">
        <v>693.08264405359398</v>
      </c>
      <c r="M24" t="s">
        <v>34</v>
      </c>
      <c r="N24">
        <f>Supermarket_Sales_Case_Study[[#This Row],[Sales_Amount]]-Supermarket_Sales_Case_Study[[#This Row],[Profit]]</f>
        <v>1617.1928361250461</v>
      </c>
      <c r="O24" s="2">
        <f>(Supermarket_Sales_Case_Study[[#This Row],[Sales_Amount]]-Supermarket_Sales_Case_Study[[#This Row],[Purchase]])/Supermarket_Sales_Case_Study[[#This Row],[Sales_Amount]]</f>
        <v>0.30000000000000082</v>
      </c>
      <c r="P24">
        <f>Supermarket_Sales_Case_Study[[#This Row],[Quantity]]*Supermarket_Sales_Case_Study[[#This Row],[Sales_Amount]]</f>
        <v>20792.47932160776</v>
      </c>
    </row>
    <row r="25" spans="1:16" x14ac:dyDescent="0.3">
      <c r="A25" t="s">
        <v>55</v>
      </c>
      <c r="B25" t="s">
        <v>39</v>
      </c>
      <c r="C25" t="s">
        <v>30</v>
      </c>
      <c r="D25">
        <v>2263</v>
      </c>
      <c r="E25" t="s">
        <v>16</v>
      </c>
      <c r="F25" t="s">
        <v>17</v>
      </c>
      <c r="G25" t="s">
        <v>31</v>
      </c>
      <c r="H25" s="1">
        <v>45362</v>
      </c>
      <c r="I25">
        <v>294.75265244219599</v>
      </c>
      <c r="J25">
        <v>6</v>
      </c>
      <c r="K25">
        <v>1768.5159146531701</v>
      </c>
      <c r="L25">
        <v>530.55477439595302</v>
      </c>
      <c r="M25" t="s">
        <v>19</v>
      </c>
      <c r="N25">
        <f>Supermarket_Sales_Case_Study[[#This Row],[Sales_Amount]]-Supermarket_Sales_Case_Study[[#This Row],[Profit]]</f>
        <v>1237.961140257217</v>
      </c>
      <c r="O25" s="2">
        <f>(Supermarket_Sales_Case_Study[[#This Row],[Sales_Amount]]-Supermarket_Sales_Case_Study[[#This Row],[Purchase]])/Supermarket_Sales_Case_Study[[#This Row],[Sales_Amount]]</f>
        <v>0.30000000000000115</v>
      </c>
      <c r="P25">
        <f>Supermarket_Sales_Case_Study[[#This Row],[Quantity]]*Supermarket_Sales_Case_Study[[#This Row],[Sales_Amount]]</f>
        <v>10611.095487919021</v>
      </c>
    </row>
    <row r="26" spans="1:16" x14ac:dyDescent="0.3">
      <c r="A26" t="s">
        <v>56</v>
      </c>
      <c r="B26" t="s">
        <v>21</v>
      </c>
      <c r="C26" t="s">
        <v>30</v>
      </c>
      <c r="D26">
        <v>1379</v>
      </c>
      <c r="E26" t="s">
        <v>26</v>
      </c>
      <c r="F26" t="s">
        <v>22</v>
      </c>
      <c r="G26" t="s">
        <v>31</v>
      </c>
      <c r="H26" s="1">
        <v>45304</v>
      </c>
      <c r="I26">
        <v>192.11808095518799</v>
      </c>
      <c r="J26">
        <v>4</v>
      </c>
      <c r="K26">
        <v>768.47232382075299</v>
      </c>
      <c r="L26">
        <v>230.541697146226</v>
      </c>
      <c r="M26" t="s">
        <v>19</v>
      </c>
      <c r="N26">
        <f>Supermarket_Sales_Case_Study[[#This Row],[Sales_Amount]]-Supermarket_Sales_Case_Study[[#This Row],[Profit]]</f>
        <v>537.93062667452705</v>
      </c>
      <c r="O26" s="2">
        <f>(Supermarket_Sales_Case_Study[[#This Row],[Sales_Amount]]-Supermarket_Sales_Case_Study[[#This Row],[Purchase]])/Supermarket_Sales_Case_Study[[#This Row],[Sales_Amount]]</f>
        <v>0.30000000000000004</v>
      </c>
      <c r="P26">
        <f>Supermarket_Sales_Case_Study[[#This Row],[Quantity]]*Supermarket_Sales_Case_Study[[#This Row],[Sales_Amount]]</f>
        <v>3073.889295283012</v>
      </c>
    </row>
    <row r="27" spans="1:16" x14ac:dyDescent="0.3">
      <c r="A27" t="s">
        <v>57</v>
      </c>
      <c r="B27" t="s">
        <v>21</v>
      </c>
      <c r="C27" t="s">
        <v>36</v>
      </c>
      <c r="D27">
        <v>1871</v>
      </c>
      <c r="E27" t="s">
        <v>26</v>
      </c>
      <c r="F27" t="s">
        <v>17</v>
      </c>
      <c r="G27" t="s">
        <v>23</v>
      </c>
      <c r="H27" s="1">
        <v>45306</v>
      </c>
      <c r="I27">
        <v>81.777921210719398</v>
      </c>
      <c r="J27">
        <v>2</v>
      </c>
      <c r="K27">
        <v>163.555842421438</v>
      </c>
      <c r="L27">
        <v>49.066752726431602</v>
      </c>
      <c r="M27" t="s">
        <v>19</v>
      </c>
      <c r="N27">
        <f>Supermarket_Sales_Case_Study[[#This Row],[Sales_Amount]]-Supermarket_Sales_Case_Study[[#This Row],[Profit]]</f>
        <v>114.4890896950064</v>
      </c>
      <c r="O27" s="2">
        <f>(Supermarket_Sales_Case_Study[[#This Row],[Sales_Amount]]-Supermarket_Sales_Case_Study[[#This Row],[Purchase]])/Supermarket_Sales_Case_Study[[#This Row],[Sales_Amount]]</f>
        <v>0.30000000000000121</v>
      </c>
      <c r="P27">
        <f>Supermarket_Sales_Case_Study[[#This Row],[Quantity]]*Supermarket_Sales_Case_Study[[#This Row],[Sales_Amount]]</f>
        <v>327.111684842876</v>
      </c>
    </row>
    <row r="28" spans="1:16" x14ac:dyDescent="0.3">
      <c r="A28" t="s">
        <v>58</v>
      </c>
      <c r="B28" t="s">
        <v>21</v>
      </c>
      <c r="C28" t="s">
        <v>36</v>
      </c>
      <c r="D28">
        <v>1834</v>
      </c>
      <c r="E28" t="s">
        <v>26</v>
      </c>
      <c r="F28" t="s">
        <v>17</v>
      </c>
      <c r="G28" t="s">
        <v>18</v>
      </c>
      <c r="H28" s="1">
        <v>45380</v>
      </c>
      <c r="I28">
        <v>57.216364406290403</v>
      </c>
      <c r="J28">
        <v>6</v>
      </c>
      <c r="K28">
        <v>343.298186437742</v>
      </c>
      <c r="L28">
        <v>102.989455931322</v>
      </c>
      <c r="M28" t="s">
        <v>34</v>
      </c>
      <c r="N28">
        <f>Supermarket_Sales_Case_Study[[#This Row],[Sales_Amount]]-Supermarket_Sales_Case_Study[[#This Row],[Profit]]</f>
        <v>240.30873050642001</v>
      </c>
      <c r="O28" s="2">
        <f>(Supermarket_Sales_Case_Study[[#This Row],[Sales_Amount]]-Supermarket_Sales_Case_Study[[#This Row],[Purchase]])/Supermarket_Sales_Case_Study[[#This Row],[Sales_Amount]]</f>
        <v>0.29999999999999827</v>
      </c>
      <c r="P28">
        <f>Supermarket_Sales_Case_Study[[#This Row],[Quantity]]*Supermarket_Sales_Case_Study[[#This Row],[Sales_Amount]]</f>
        <v>2059.7891186264519</v>
      </c>
    </row>
    <row r="29" spans="1:16" x14ac:dyDescent="0.3">
      <c r="A29" t="s">
        <v>59</v>
      </c>
      <c r="B29" t="s">
        <v>14</v>
      </c>
      <c r="C29" t="s">
        <v>36</v>
      </c>
      <c r="D29">
        <v>2494</v>
      </c>
      <c r="E29" t="s">
        <v>26</v>
      </c>
      <c r="F29" t="s">
        <v>22</v>
      </c>
      <c r="G29" t="s">
        <v>33</v>
      </c>
      <c r="H29" s="1">
        <v>45378</v>
      </c>
      <c r="I29">
        <v>64.205187776453798</v>
      </c>
      <c r="J29">
        <v>2</v>
      </c>
      <c r="K29">
        <v>128.410375552907</v>
      </c>
      <c r="L29">
        <v>38.523112665872297</v>
      </c>
      <c r="M29" t="s">
        <v>34</v>
      </c>
      <c r="N29">
        <f>Supermarket_Sales_Case_Study[[#This Row],[Sales_Amount]]-Supermarket_Sales_Case_Study[[#This Row],[Profit]]</f>
        <v>89.887262887034694</v>
      </c>
      <c r="O29" s="2">
        <f>(Supermarket_Sales_Case_Study[[#This Row],[Sales_Amount]]-Supermarket_Sales_Case_Study[[#This Row],[Purchase]])/Supermarket_Sales_Case_Study[[#This Row],[Sales_Amount]]</f>
        <v>0.3000000000000016</v>
      </c>
      <c r="P29">
        <f>Supermarket_Sales_Case_Study[[#This Row],[Quantity]]*Supermarket_Sales_Case_Study[[#This Row],[Sales_Amount]]</f>
        <v>256.820751105814</v>
      </c>
    </row>
    <row r="30" spans="1:16" x14ac:dyDescent="0.3">
      <c r="A30" t="s">
        <v>60</v>
      </c>
      <c r="B30" t="s">
        <v>14</v>
      </c>
      <c r="C30" t="s">
        <v>15</v>
      </c>
      <c r="D30">
        <v>1774</v>
      </c>
      <c r="E30" t="s">
        <v>16</v>
      </c>
      <c r="F30" t="s">
        <v>22</v>
      </c>
      <c r="G30" t="s">
        <v>31</v>
      </c>
      <c r="H30" s="1">
        <v>45351</v>
      </c>
      <c r="I30">
        <v>15.740740920703701</v>
      </c>
      <c r="J30">
        <v>5</v>
      </c>
      <c r="K30">
        <v>78.703704603518801</v>
      </c>
      <c r="L30">
        <v>23.611111381055601</v>
      </c>
      <c r="M30" t="s">
        <v>34</v>
      </c>
      <c r="N30">
        <f>Supermarket_Sales_Case_Study[[#This Row],[Sales_Amount]]-Supermarket_Sales_Case_Study[[#This Row],[Profit]]</f>
        <v>55.092593222463201</v>
      </c>
      <c r="O30" s="2">
        <f>(Supermarket_Sales_Case_Study[[#This Row],[Sales_Amount]]-Supermarket_Sales_Case_Study[[#This Row],[Purchase]])/Supermarket_Sales_Case_Study[[#This Row],[Sales_Amount]]</f>
        <v>0.29999999999999949</v>
      </c>
      <c r="P30">
        <f>Supermarket_Sales_Case_Study[[#This Row],[Quantity]]*Supermarket_Sales_Case_Study[[#This Row],[Sales_Amount]]</f>
        <v>393.51852301759402</v>
      </c>
    </row>
    <row r="31" spans="1:16" x14ac:dyDescent="0.3">
      <c r="A31" t="s">
        <v>61</v>
      </c>
      <c r="B31" t="s">
        <v>14</v>
      </c>
      <c r="C31" t="s">
        <v>30</v>
      </c>
      <c r="D31">
        <v>1918</v>
      </c>
      <c r="E31" t="s">
        <v>26</v>
      </c>
      <c r="F31" t="s">
        <v>17</v>
      </c>
      <c r="G31" t="s">
        <v>18</v>
      </c>
      <c r="H31" s="1">
        <v>45313</v>
      </c>
      <c r="I31">
        <v>123.297812185922</v>
      </c>
      <c r="J31">
        <v>6</v>
      </c>
      <c r="K31">
        <v>739.78687311553404</v>
      </c>
      <c r="L31">
        <v>221.93606193465999</v>
      </c>
      <c r="M31" t="s">
        <v>24</v>
      </c>
      <c r="N31">
        <f>Supermarket_Sales_Case_Study[[#This Row],[Sales_Amount]]-Supermarket_Sales_Case_Study[[#This Row],[Profit]]</f>
        <v>517.85081118087408</v>
      </c>
      <c r="O31" s="2">
        <f>(Supermarket_Sales_Case_Study[[#This Row],[Sales_Amount]]-Supermarket_Sales_Case_Study[[#This Row],[Purchase]])/Supermarket_Sales_Case_Study[[#This Row],[Sales_Amount]]</f>
        <v>0.29999999999999966</v>
      </c>
      <c r="P31">
        <f>Supermarket_Sales_Case_Study[[#This Row],[Quantity]]*Supermarket_Sales_Case_Study[[#This Row],[Sales_Amount]]</f>
        <v>4438.7212386932042</v>
      </c>
    </row>
    <row r="32" spans="1:16" x14ac:dyDescent="0.3">
      <c r="A32" t="s">
        <v>62</v>
      </c>
      <c r="B32" t="s">
        <v>39</v>
      </c>
      <c r="C32" t="s">
        <v>30</v>
      </c>
      <c r="D32">
        <v>1454</v>
      </c>
      <c r="E32" t="s">
        <v>26</v>
      </c>
      <c r="F32" t="s">
        <v>17</v>
      </c>
      <c r="G32" t="s">
        <v>28</v>
      </c>
      <c r="H32" s="1">
        <v>45354</v>
      </c>
      <c r="I32">
        <v>65.514027344867301</v>
      </c>
      <c r="J32">
        <v>4</v>
      </c>
      <c r="K32">
        <v>262.05610937946898</v>
      </c>
      <c r="L32">
        <v>78.616832813840702</v>
      </c>
      <c r="M32" t="s">
        <v>34</v>
      </c>
      <c r="N32">
        <f>Supermarket_Sales_Case_Study[[#This Row],[Sales_Amount]]-Supermarket_Sales_Case_Study[[#This Row],[Profit]]</f>
        <v>183.43927656562829</v>
      </c>
      <c r="O32" s="2">
        <f>(Supermarket_Sales_Case_Study[[#This Row],[Sales_Amount]]-Supermarket_Sales_Case_Study[[#This Row],[Purchase]])/Supermarket_Sales_Case_Study[[#This Row],[Sales_Amount]]</f>
        <v>0.3</v>
      </c>
      <c r="P32">
        <f>Supermarket_Sales_Case_Study[[#This Row],[Quantity]]*Supermarket_Sales_Case_Study[[#This Row],[Sales_Amount]]</f>
        <v>1048.2244375178759</v>
      </c>
    </row>
    <row r="33" spans="1:16" x14ac:dyDescent="0.3">
      <c r="A33" t="s">
        <v>63</v>
      </c>
      <c r="B33" t="s">
        <v>14</v>
      </c>
      <c r="C33" t="s">
        <v>15</v>
      </c>
      <c r="D33">
        <v>1365</v>
      </c>
      <c r="E33" t="s">
        <v>26</v>
      </c>
      <c r="F33" t="s">
        <v>17</v>
      </c>
      <c r="G33" t="s">
        <v>31</v>
      </c>
      <c r="H33" s="1">
        <v>45381</v>
      </c>
      <c r="I33">
        <v>129.380083532443</v>
      </c>
      <c r="J33">
        <v>3</v>
      </c>
      <c r="K33">
        <v>388.14025059733098</v>
      </c>
      <c r="L33">
        <v>116.44207517919899</v>
      </c>
      <c r="M33" t="s">
        <v>24</v>
      </c>
      <c r="N33">
        <f>Supermarket_Sales_Case_Study[[#This Row],[Sales_Amount]]-Supermarket_Sales_Case_Study[[#This Row],[Profit]]</f>
        <v>271.698175418132</v>
      </c>
      <c r="O33" s="2">
        <f>(Supermarket_Sales_Case_Study[[#This Row],[Sales_Amount]]-Supermarket_Sales_Case_Study[[#This Row],[Purchase]])/Supermarket_Sales_Case_Study[[#This Row],[Sales_Amount]]</f>
        <v>0.29999999999999921</v>
      </c>
      <c r="P33">
        <f>Supermarket_Sales_Case_Study[[#This Row],[Quantity]]*Supermarket_Sales_Case_Study[[#This Row],[Sales_Amount]]</f>
        <v>1164.4207517919929</v>
      </c>
    </row>
    <row r="34" spans="1:16" x14ac:dyDescent="0.3">
      <c r="A34" t="s">
        <v>64</v>
      </c>
      <c r="B34" t="s">
        <v>39</v>
      </c>
      <c r="C34" t="s">
        <v>30</v>
      </c>
      <c r="D34">
        <v>2313</v>
      </c>
      <c r="E34" t="s">
        <v>26</v>
      </c>
      <c r="F34" t="s">
        <v>22</v>
      </c>
      <c r="G34" t="s">
        <v>18</v>
      </c>
      <c r="H34" s="1">
        <v>45366</v>
      </c>
      <c r="I34">
        <v>281.14838523324198</v>
      </c>
      <c r="J34">
        <v>7</v>
      </c>
      <c r="K34">
        <v>1968.0386966326901</v>
      </c>
      <c r="L34">
        <v>590.41160898980797</v>
      </c>
      <c r="M34" t="s">
        <v>24</v>
      </c>
      <c r="N34">
        <f>Supermarket_Sales_Case_Study[[#This Row],[Sales_Amount]]-Supermarket_Sales_Case_Study[[#This Row],[Profit]]</f>
        <v>1377.6270876428821</v>
      </c>
      <c r="O34" s="2">
        <f>(Supermarket_Sales_Case_Study[[#This Row],[Sales_Amount]]-Supermarket_Sales_Case_Study[[#This Row],[Purchase]])/Supermarket_Sales_Case_Study[[#This Row],[Sales_Amount]]</f>
        <v>0.30000000000000049</v>
      </c>
      <c r="P34">
        <f>Supermarket_Sales_Case_Study[[#This Row],[Quantity]]*Supermarket_Sales_Case_Study[[#This Row],[Sales_Amount]]</f>
        <v>13776.270876428831</v>
      </c>
    </row>
    <row r="35" spans="1:16" x14ac:dyDescent="0.3">
      <c r="A35" t="s">
        <v>65</v>
      </c>
      <c r="B35" t="s">
        <v>39</v>
      </c>
      <c r="C35" t="s">
        <v>36</v>
      </c>
      <c r="D35">
        <v>1402</v>
      </c>
      <c r="E35" t="s">
        <v>16</v>
      </c>
      <c r="F35" t="s">
        <v>17</v>
      </c>
      <c r="G35" t="s">
        <v>18</v>
      </c>
      <c r="H35" s="1">
        <v>45365</v>
      </c>
      <c r="I35">
        <v>134.856660757085</v>
      </c>
      <c r="J35">
        <v>2</v>
      </c>
      <c r="K35">
        <v>269.71332151416999</v>
      </c>
      <c r="L35">
        <v>80.913996454251006</v>
      </c>
      <c r="M35" t="s">
        <v>34</v>
      </c>
      <c r="N35">
        <f>Supermarket_Sales_Case_Study[[#This Row],[Sales_Amount]]-Supermarket_Sales_Case_Study[[#This Row],[Profit]]</f>
        <v>188.799325059919</v>
      </c>
      <c r="O35" s="2">
        <f>(Supermarket_Sales_Case_Study[[#This Row],[Sales_Amount]]-Supermarket_Sales_Case_Study[[#This Row],[Purchase]])/Supermarket_Sales_Case_Study[[#This Row],[Sales_Amount]]</f>
        <v>0.3</v>
      </c>
      <c r="P35">
        <f>Supermarket_Sales_Case_Study[[#This Row],[Quantity]]*Supermarket_Sales_Case_Study[[#This Row],[Sales_Amount]]</f>
        <v>539.42664302833998</v>
      </c>
    </row>
    <row r="36" spans="1:16" x14ac:dyDescent="0.3">
      <c r="A36" t="s">
        <v>66</v>
      </c>
      <c r="B36" t="s">
        <v>14</v>
      </c>
      <c r="C36" t="s">
        <v>36</v>
      </c>
      <c r="D36">
        <v>1057</v>
      </c>
      <c r="E36" t="s">
        <v>26</v>
      </c>
      <c r="F36" t="s">
        <v>22</v>
      </c>
      <c r="G36" t="s">
        <v>33</v>
      </c>
      <c r="H36" s="1">
        <v>45316</v>
      </c>
      <c r="I36">
        <v>264.615504125602</v>
      </c>
      <c r="J36">
        <v>6</v>
      </c>
      <c r="K36">
        <v>1587.69302475361</v>
      </c>
      <c r="L36">
        <v>476.30790742608298</v>
      </c>
      <c r="M36" t="s">
        <v>34</v>
      </c>
      <c r="N36">
        <f>Supermarket_Sales_Case_Study[[#This Row],[Sales_Amount]]-Supermarket_Sales_Case_Study[[#This Row],[Profit]]</f>
        <v>1111.385117327527</v>
      </c>
      <c r="O36" s="2">
        <f>(Supermarket_Sales_Case_Study[[#This Row],[Sales_Amount]]-Supermarket_Sales_Case_Study[[#This Row],[Purchase]])/Supermarket_Sales_Case_Study[[#This Row],[Sales_Amount]]</f>
        <v>0.29999999999999993</v>
      </c>
      <c r="P36">
        <f>Supermarket_Sales_Case_Study[[#This Row],[Quantity]]*Supermarket_Sales_Case_Study[[#This Row],[Sales_Amount]]</f>
        <v>9526.1581485216593</v>
      </c>
    </row>
    <row r="37" spans="1:16" x14ac:dyDescent="0.3">
      <c r="A37" t="s">
        <v>67</v>
      </c>
      <c r="B37" t="s">
        <v>39</v>
      </c>
      <c r="C37" t="s">
        <v>36</v>
      </c>
      <c r="D37">
        <v>1520</v>
      </c>
      <c r="E37" t="s">
        <v>16</v>
      </c>
      <c r="F37" t="s">
        <v>22</v>
      </c>
      <c r="G37" t="s">
        <v>33</v>
      </c>
      <c r="H37" s="1">
        <v>45339</v>
      </c>
      <c r="I37">
        <v>185.59638231860399</v>
      </c>
      <c r="J37">
        <v>4</v>
      </c>
      <c r="K37">
        <v>742.38552927441594</v>
      </c>
      <c r="L37">
        <v>222.71565878232499</v>
      </c>
      <c r="M37" t="s">
        <v>34</v>
      </c>
      <c r="N37">
        <f>Supermarket_Sales_Case_Study[[#This Row],[Sales_Amount]]-Supermarket_Sales_Case_Study[[#This Row],[Profit]]</f>
        <v>519.66987049209092</v>
      </c>
      <c r="O37" s="2">
        <f>(Supermarket_Sales_Case_Study[[#This Row],[Sales_Amount]]-Supermarket_Sales_Case_Study[[#This Row],[Purchase]])/Supermarket_Sales_Case_Study[[#This Row],[Sales_Amount]]</f>
        <v>0.30000000000000032</v>
      </c>
      <c r="P37">
        <f>Supermarket_Sales_Case_Study[[#This Row],[Quantity]]*Supermarket_Sales_Case_Study[[#This Row],[Sales_Amount]]</f>
        <v>2969.5421170976638</v>
      </c>
    </row>
    <row r="38" spans="1:16" x14ac:dyDescent="0.3">
      <c r="A38" t="s">
        <v>68</v>
      </c>
      <c r="B38" t="s">
        <v>14</v>
      </c>
      <c r="C38" t="s">
        <v>30</v>
      </c>
      <c r="D38">
        <v>2327</v>
      </c>
      <c r="E38" t="s">
        <v>26</v>
      </c>
      <c r="F38" t="s">
        <v>22</v>
      </c>
      <c r="G38" t="s">
        <v>28</v>
      </c>
      <c r="H38" s="1">
        <v>45334</v>
      </c>
      <c r="I38">
        <v>81.668150851803603</v>
      </c>
      <c r="J38">
        <v>6</v>
      </c>
      <c r="K38">
        <v>490.00890511082099</v>
      </c>
      <c r="L38">
        <v>147.002671533246</v>
      </c>
      <c r="M38" t="s">
        <v>24</v>
      </c>
      <c r="N38">
        <f>Supermarket_Sales_Case_Study[[#This Row],[Sales_Amount]]-Supermarket_Sales_Case_Study[[#This Row],[Profit]]</f>
        <v>343.00623357757502</v>
      </c>
      <c r="O38" s="2">
        <f>(Supermarket_Sales_Case_Study[[#This Row],[Sales_Amount]]-Supermarket_Sales_Case_Study[[#This Row],[Purchase]])/Supermarket_Sales_Case_Study[[#This Row],[Sales_Amount]]</f>
        <v>0.29999999999999932</v>
      </c>
      <c r="P38">
        <f>Supermarket_Sales_Case_Study[[#This Row],[Quantity]]*Supermarket_Sales_Case_Study[[#This Row],[Sales_Amount]]</f>
        <v>2940.0534306649261</v>
      </c>
    </row>
    <row r="39" spans="1:16" x14ac:dyDescent="0.3">
      <c r="A39" t="s">
        <v>69</v>
      </c>
      <c r="B39" t="s">
        <v>14</v>
      </c>
      <c r="C39" t="s">
        <v>36</v>
      </c>
      <c r="D39">
        <v>2138</v>
      </c>
      <c r="E39" t="s">
        <v>26</v>
      </c>
      <c r="F39" t="s">
        <v>17</v>
      </c>
      <c r="G39" t="s">
        <v>18</v>
      </c>
      <c r="H39" s="1">
        <v>45329</v>
      </c>
      <c r="I39">
        <v>113.197880185171</v>
      </c>
      <c r="J39">
        <v>4</v>
      </c>
      <c r="K39">
        <v>452.79152074068497</v>
      </c>
      <c r="L39">
        <v>135.83745622220499</v>
      </c>
      <c r="M39" t="s">
        <v>19</v>
      </c>
      <c r="N39">
        <f>Supermarket_Sales_Case_Study[[#This Row],[Sales_Amount]]-Supermarket_Sales_Case_Study[[#This Row],[Profit]]</f>
        <v>316.95406451847998</v>
      </c>
      <c r="O39" s="2">
        <f>(Supermarket_Sales_Case_Study[[#This Row],[Sales_Amount]]-Supermarket_Sales_Case_Study[[#This Row],[Purchase]])/Supermarket_Sales_Case_Study[[#This Row],[Sales_Amount]]</f>
        <v>0.29999999999999888</v>
      </c>
      <c r="P39">
        <f>Supermarket_Sales_Case_Study[[#This Row],[Quantity]]*Supermarket_Sales_Case_Study[[#This Row],[Sales_Amount]]</f>
        <v>1811.1660829627399</v>
      </c>
    </row>
    <row r="40" spans="1:16" x14ac:dyDescent="0.3">
      <c r="A40" t="s">
        <v>70</v>
      </c>
      <c r="B40" t="s">
        <v>21</v>
      </c>
      <c r="C40" t="s">
        <v>15</v>
      </c>
      <c r="D40">
        <v>1209</v>
      </c>
      <c r="E40" t="s">
        <v>16</v>
      </c>
      <c r="F40" t="s">
        <v>22</v>
      </c>
      <c r="G40" t="s">
        <v>37</v>
      </c>
      <c r="H40" s="1">
        <v>45332</v>
      </c>
      <c r="I40">
        <v>34.336665388214499</v>
      </c>
      <c r="J40">
        <v>4</v>
      </c>
      <c r="K40">
        <v>137.346661552858</v>
      </c>
      <c r="L40">
        <v>41.203998465857403</v>
      </c>
      <c r="M40" t="s">
        <v>34</v>
      </c>
      <c r="N40">
        <f>Supermarket_Sales_Case_Study[[#This Row],[Sales_Amount]]-Supermarket_Sales_Case_Study[[#This Row],[Profit]]</f>
        <v>96.142663087000585</v>
      </c>
      <c r="O40" s="2">
        <f>(Supermarket_Sales_Case_Study[[#This Row],[Sales_Amount]]-Supermarket_Sales_Case_Study[[#This Row],[Purchase]])/Supermarket_Sales_Case_Study[[#This Row],[Sales_Amount]]</f>
        <v>0.3000000000000001</v>
      </c>
      <c r="P40">
        <f>Supermarket_Sales_Case_Study[[#This Row],[Quantity]]*Supermarket_Sales_Case_Study[[#This Row],[Sales_Amount]]</f>
        <v>549.38664621143198</v>
      </c>
    </row>
    <row r="41" spans="1:16" x14ac:dyDescent="0.3">
      <c r="A41" t="s">
        <v>71</v>
      </c>
      <c r="B41" t="s">
        <v>14</v>
      </c>
      <c r="C41" t="s">
        <v>15</v>
      </c>
      <c r="D41">
        <v>2064</v>
      </c>
      <c r="E41" t="s">
        <v>26</v>
      </c>
      <c r="F41" t="s">
        <v>22</v>
      </c>
      <c r="G41" t="s">
        <v>18</v>
      </c>
      <c r="H41" s="1">
        <v>45336</v>
      </c>
      <c r="I41">
        <v>106.704152142843</v>
      </c>
      <c r="J41">
        <v>4</v>
      </c>
      <c r="K41">
        <v>426.816608571372</v>
      </c>
      <c r="L41">
        <v>128.044982571411</v>
      </c>
      <c r="M41" t="s">
        <v>34</v>
      </c>
      <c r="N41">
        <f>Supermarket_Sales_Case_Study[[#This Row],[Sales_Amount]]-Supermarket_Sales_Case_Study[[#This Row],[Profit]]</f>
        <v>298.77162599996097</v>
      </c>
      <c r="O41" s="2">
        <f>(Supermarket_Sales_Case_Study[[#This Row],[Sales_Amount]]-Supermarket_Sales_Case_Study[[#This Row],[Purchase]])/Supermarket_Sales_Case_Study[[#This Row],[Sales_Amount]]</f>
        <v>0.29999999999999866</v>
      </c>
      <c r="P41">
        <f>Supermarket_Sales_Case_Study[[#This Row],[Quantity]]*Supermarket_Sales_Case_Study[[#This Row],[Sales_Amount]]</f>
        <v>1707.266434285488</v>
      </c>
    </row>
    <row r="42" spans="1:16" x14ac:dyDescent="0.3">
      <c r="A42" t="s">
        <v>72</v>
      </c>
      <c r="B42" t="s">
        <v>21</v>
      </c>
      <c r="C42" t="s">
        <v>30</v>
      </c>
      <c r="D42">
        <v>1815</v>
      </c>
      <c r="E42" t="s">
        <v>16</v>
      </c>
      <c r="F42" t="s">
        <v>22</v>
      </c>
      <c r="G42" t="s">
        <v>33</v>
      </c>
      <c r="H42" s="1">
        <v>45379</v>
      </c>
      <c r="I42">
        <v>206.48687419602399</v>
      </c>
      <c r="J42">
        <v>9</v>
      </c>
      <c r="K42">
        <v>1858.38186776422</v>
      </c>
      <c r="L42">
        <v>557.51456032926706</v>
      </c>
      <c r="M42" t="s">
        <v>34</v>
      </c>
      <c r="N42">
        <f>Supermarket_Sales_Case_Study[[#This Row],[Sales_Amount]]-Supermarket_Sales_Case_Study[[#This Row],[Profit]]</f>
        <v>1300.8673074349531</v>
      </c>
      <c r="O42" s="2">
        <f>(Supermarket_Sales_Case_Study[[#This Row],[Sales_Amount]]-Supermarket_Sales_Case_Study[[#This Row],[Purchase]])/Supermarket_Sales_Case_Study[[#This Row],[Sales_Amount]]</f>
        <v>0.30000000000000049</v>
      </c>
      <c r="P42">
        <f>Supermarket_Sales_Case_Study[[#This Row],[Quantity]]*Supermarket_Sales_Case_Study[[#This Row],[Sales_Amount]]</f>
        <v>16725.436809877981</v>
      </c>
    </row>
    <row r="43" spans="1:16" x14ac:dyDescent="0.3">
      <c r="A43" t="s">
        <v>73</v>
      </c>
      <c r="B43" t="s">
        <v>14</v>
      </c>
      <c r="C43" t="s">
        <v>15</v>
      </c>
      <c r="D43">
        <v>1172</v>
      </c>
      <c r="E43" t="s">
        <v>16</v>
      </c>
      <c r="F43" t="s">
        <v>22</v>
      </c>
      <c r="G43" t="s">
        <v>37</v>
      </c>
      <c r="H43" s="1">
        <v>45331</v>
      </c>
      <c r="I43">
        <v>30.912216949536202</v>
      </c>
      <c r="J43">
        <v>7</v>
      </c>
      <c r="K43">
        <v>216.38551864675301</v>
      </c>
      <c r="L43">
        <v>64.915655594026006</v>
      </c>
      <c r="M43" t="s">
        <v>24</v>
      </c>
      <c r="N43">
        <f>Supermarket_Sales_Case_Study[[#This Row],[Sales_Amount]]-Supermarket_Sales_Case_Study[[#This Row],[Profit]]</f>
        <v>151.46986305272702</v>
      </c>
      <c r="O43" s="2">
        <f>(Supermarket_Sales_Case_Study[[#This Row],[Sales_Amount]]-Supermarket_Sales_Case_Study[[#This Row],[Purchase]])/Supermarket_Sales_Case_Study[[#This Row],[Sales_Amount]]</f>
        <v>0.30000000000000043</v>
      </c>
      <c r="P43">
        <f>Supermarket_Sales_Case_Study[[#This Row],[Quantity]]*Supermarket_Sales_Case_Study[[#This Row],[Sales_Amount]]</f>
        <v>1514.698630527271</v>
      </c>
    </row>
    <row r="44" spans="1:16" x14ac:dyDescent="0.3">
      <c r="A44" t="s">
        <v>74</v>
      </c>
      <c r="B44" t="s">
        <v>14</v>
      </c>
      <c r="C44" t="s">
        <v>15</v>
      </c>
      <c r="D44">
        <v>1233</v>
      </c>
      <c r="E44" t="s">
        <v>26</v>
      </c>
      <c r="F44" t="s">
        <v>22</v>
      </c>
      <c r="G44" t="s">
        <v>31</v>
      </c>
      <c r="H44" s="1">
        <v>45308</v>
      </c>
      <c r="I44">
        <v>69.566408458628501</v>
      </c>
      <c r="J44">
        <v>3</v>
      </c>
      <c r="K44">
        <v>208.69922537588499</v>
      </c>
      <c r="L44">
        <v>62.609767612765602</v>
      </c>
      <c r="M44" t="s">
        <v>24</v>
      </c>
      <c r="N44">
        <f>Supermarket_Sales_Case_Study[[#This Row],[Sales_Amount]]-Supermarket_Sales_Case_Study[[#This Row],[Profit]]</f>
        <v>146.08945776311938</v>
      </c>
      <c r="O44" s="2">
        <f>(Supermarket_Sales_Case_Study[[#This Row],[Sales_Amount]]-Supermarket_Sales_Case_Study[[#This Row],[Purchase]])/Supermarket_Sales_Case_Study[[#This Row],[Sales_Amount]]</f>
        <v>0.30000000000000054</v>
      </c>
      <c r="P44">
        <f>Supermarket_Sales_Case_Study[[#This Row],[Quantity]]*Supermarket_Sales_Case_Study[[#This Row],[Sales_Amount]]</f>
        <v>626.09767612765495</v>
      </c>
    </row>
    <row r="45" spans="1:16" x14ac:dyDescent="0.3">
      <c r="A45" t="s">
        <v>75</v>
      </c>
      <c r="B45" t="s">
        <v>21</v>
      </c>
      <c r="C45" t="s">
        <v>30</v>
      </c>
      <c r="D45">
        <v>1792</v>
      </c>
      <c r="E45" t="s">
        <v>16</v>
      </c>
      <c r="F45" t="s">
        <v>17</v>
      </c>
      <c r="G45" t="s">
        <v>31</v>
      </c>
      <c r="H45" s="1">
        <v>45379</v>
      </c>
      <c r="I45">
        <v>120.61790200986</v>
      </c>
      <c r="J45">
        <v>3</v>
      </c>
      <c r="K45">
        <v>361.85370602958</v>
      </c>
      <c r="L45">
        <v>108.55611180887399</v>
      </c>
      <c r="M45" t="s">
        <v>19</v>
      </c>
      <c r="N45">
        <f>Supermarket_Sales_Case_Study[[#This Row],[Sales_Amount]]-Supermarket_Sales_Case_Study[[#This Row],[Profit]]</f>
        <v>253.297594220706</v>
      </c>
      <c r="O45" s="2">
        <f>(Supermarket_Sales_Case_Study[[#This Row],[Sales_Amount]]-Supermarket_Sales_Case_Study[[#This Row],[Purchase]])/Supermarket_Sales_Case_Study[[#This Row],[Sales_Amount]]</f>
        <v>0.3</v>
      </c>
      <c r="P45">
        <f>Supermarket_Sales_Case_Study[[#This Row],[Quantity]]*Supermarket_Sales_Case_Study[[#This Row],[Sales_Amount]]</f>
        <v>1085.5611180887399</v>
      </c>
    </row>
    <row r="46" spans="1:16" x14ac:dyDescent="0.3">
      <c r="A46" t="s">
        <v>76</v>
      </c>
      <c r="B46" t="s">
        <v>21</v>
      </c>
      <c r="C46" t="s">
        <v>36</v>
      </c>
      <c r="D46">
        <v>1792</v>
      </c>
      <c r="E46" t="s">
        <v>16</v>
      </c>
      <c r="F46" t="s">
        <v>22</v>
      </c>
      <c r="G46" t="s">
        <v>23</v>
      </c>
      <c r="H46" s="1">
        <v>45348</v>
      </c>
      <c r="I46">
        <v>294.79436573462903</v>
      </c>
      <c r="J46">
        <v>6</v>
      </c>
      <c r="K46">
        <v>1768.7661944077699</v>
      </c>
      <c r="L46">
        <v>530.62985832233198</v>
      </c>
      <c r="M46" t="s">
        <v>34</v>
      </c>
      <c r="N46">
        <f>Supermarket_Sales_Case_Study[[#This Row],[Sales_Amount]]-Supermarket_Sales_Case_Study[[#This Row],[Profit]]</f>
        <v>1238.136336085438</v>
      </c>
      <c r="O46" s="2">
        <f>(Supermarket_Sales_Case_Study[[#This Row],[Sales_Amount]]-Supermarket_Sales_Case_Study[[#This Row],[Purchase]])/Supermarket_Sales_Case_Study[[#This Row],[Sales_Amount]]</f>
        <v>0.30000000000000054</v>
      </c>
      <c r="P46">
        <f>Supermarket_Sales_Case_Study[[#This Row],[Quantity]]*Supermarket_Sales_Case_Study[[#This Row],[Sales_Amount]]</f>
        <v>10612.59716644662</v>
      </c>
    </row>
    <row r="47" spans="1:16" x14ac:dyDescent="0.3">
      <c r="A47" t="s">
        <v>77</v>
      </c>
      <c r="B47" t="s">
        <v>14</v>
      </c>
      <c r="C47" t="s">
        <v>36</v>
      </c>
      <c r="D47">
        <v>2426</v>
      </c>
      <c r="E47" t="s">
        <v>16</v>
      </c>
      <c r="F47" t="s">
        <v>22</v>
      </c>
      <c r="G47" t="s">
        <v>33</v>
      </c>
      <c r="H47" s="1">
        <v>45293</v>
      </c>
      <c r="I47">
        <v>237.60992865807501</v>
      </c>
      <c r="J47">
        <v>6</v>
      </c>
      <c r="K47">
        <v>1425.6595719484501</v>
      </c>
      <c r="L47">
        <v>427.69787158453499</v>
      </c>
      <c r="M47" t="s">
        <v>24</v>
      </c>
      <c r="N47">
        <f>Supermarket_Sales_Case_Study[[#This Row],[Sales_Amount]]-Supermarket_Sales_Case_Study[[#This Row],[Profit]]</f>
        <v>997.96170036391504</v>
      </c>
      <c r="O47" s="2">
        <f>(Supermarket_Sales_Case_Study[[#This Row],[Sales_Amount]]-Supermarket_Sales_Case_Study[[#This Row],[Purchase]])/Supermarket_Sales_Case_Study[[#This Row],[Sales_Amount]]</f>
        <v>0.3</v>
      </c>
      <c r="P47">
        <f>Supermarket_Sales_Case_Study[[#This Row],[Quantity]]*Supermarket_Sales_Case_Study[[#This Row],[Sales_Amount]]</f>
        <v>8553.9574316907001</v>
      </c>
    </row>
    <row r="48" spans="1:16" x14ac:dyDescent="0.3">
      <c r="A48" t="s">
        <v>78</v>
      </c>
      <c r="B48" t="s">
        <v>39</v>
      </c>
      <c r="C48" t="s">
        <v>36</v>
      </c>
      <c r="D48">
        <v>2062</v>
      </c>
      <c r="E48" t="s">
        <v>16</v>
      </c>
      <c r="F48" t="s">
        <v>17</v>
      </c>
      <c r="G48" t="s">
        <v>23</v>
      </c>
      <c r="H48" s="1">
        <v>45353</v>
      </c>
      <c r="I48">
        <v>222.71115648271001</v>
      </c>
      <c r="J48">
        <v>4</v>
      </c>
      <c r="K48">
        <v>890.84462593084004</v>
      </c>
      <c r="L48">
        <v>267.25338777925202</v>
      </c>
      <c r="M48" t="s">
        <v>19</v>
      </c>
      <c r="N48">
        <f>Supermarket_Sales_Case_Study[[#This Row],[Sales_Amount]]-Supermarket_Sales_Case_Study[[#This Row],[Profit]]</f>
        <v>623.59123815158796</v>
      </c>
      <c r="O48" s="2">
        <f>(Supermarket_Sales_Case_Study[[#This Row],[Sales_Amount]]-Supermarket_Sales_Case_Study[[#This Row],[Purchase]])/Supermarket_Sales_Case_Study[[#This Row],[Sales_Amount]]</f>
        <v>0.3000000000000001</v>
      </c>
      <c r="P48">
        <f>Supermarket_Sales_Case_Study[[#This Row],[Quantity]]*Supermarket_Sales_Case_Study[[#This Row],[Sales_Amount]]</f>
        <v>3563.3785037233602</v>
      </c>
    </row>
    <row r="49" spans="1:16" x14ac:dyDescent="0.3">
      <c r="A49" t="s">
        <v>79</v>
      </c>
      <c r="B49" t="s">
        <v>21</v>
      </c>
      <c r="C49" t="s">
        <v>30</v>
      </c>
      <c r="D49">
        <v>1118</v>
      </c>
      <c r="E49" t="s">
        <v>16</v>
      </c>
      <c r="F49" t="s">
        <v>22</v>
      </c>
      <c r="G49" t="s">
        <v>37</v>
      </c>
      <c r="H49" s="1">
        <v>45379</v>
      </c>
      <c r="I49">
        <v>43.695377392379299</v>
      </c>
      <c r="J49">
        <v>9</v>
      </c>
      <c r="K49">
        <v>393.25839653141401</v>
      </c>
      <c r="L49">
        <v>117.977518959424</v>
      </c>
      <c r="M49" t="s">
        <v>34</v>
      </c>
      <c r="N49">
        <f>Supermarket_Sales_Case_Study[[#This Row],[Sales_Amount]]-Supermarket_Sales_Case_Study[[#This Row],[Profit]]</f>
        <v>275.28087757199</v>
      </c>
      <c r="O49" s="2">
        <f>(Supermarket_Sales_Case_Study[[#This Row],[Sales_Amount]]-Supermarket_Sales_Case_Study[[#This Row],[Purchase]])/Supermarket_Sales_Case_Study[[#This Row],[Sales_Amount]]</f>
        <v>0.29999999999999949</v>
      </c>
      <c r="P49">
        <f>Supermarket_Sales_Case_Study[[#This Row],[Quantity]]*Supermarket_Sales_Case_Study[[#This Row],[Sales_Amount]]</f>
        <v>3539.3255687827259</v>
      </c>
    </row>
    <row r="50" spans="1:16" x14ac:dyDescent="0.3">
      <c r="A50" t="s">
        <v>80</v>
      </c>
      <c r="B50" t="s">
        <v>39</v>
      </c>
      <c r="C50" t="s">
        <v>15</v>
      </c>
      <c r="D50">
        <v>1334</v>
      </c>
      <c r="E50" t="s">
        <v>16</v>
      </c>
      <c r="F50" t="s">
        <v>17</v>
      </c>
      <c r="G50" t="s">
        <v>33</v>
      </c>
      <c r="H50" s="1">
        <v>45300</v>
      </c>
      <c r="I50">
        <v>236.488809148347</v>
      </c>
      <c r="J50">
        <v>4</v>
      </c>
      <c r="K50">
        <v>945.95523659339005</v>
      </c>
      <c r="L50">
        <v>283.78657097801698</v>
      </c>
      <c r="M50" t="s">
        <v>24</v>
      </c>
      <c r="N50">
        <f>Supermarket_Sales_Case_Study[[#This Row],[Sales_Amount]]-Supermarket_Sales_Case_Study[[#This Row],[Profit]]</f>
        <v>662.16866561537313</v>
      </c>
      <c r="O50" s="2">
        <f>(Supermarket_Sales_Case_Study[[#This Row],[Sales_Amount]]-Supermarket_Sales_Case_Study[[#This Row],[Purchase]])/Supermarket_Sales_Case_Study[[#This Row],[Sales_Amount]]</f>
        <v>0.29999999999999988</v>
      </c>
      <c r="P50">
        <f>Supermarket_Sales_Case_Study[[#This Row],[Quantity]]*Supermarket_Sales_Case_Study[[#This Row],[Sales_Amount]]</f>
        <v>3783.8209463735602</v>
      </c>
    </row>
    <row r="51" spans="1:16" x14ac:dyDescent="0.3">
      <c r="A51" t="s">
        <v>81</v>
      </c>
      <c r="B51" t="s">
        <v>39</v>
      </c>
      <c r="C51" t="s">
        <v>36</v>
      </c>
      <c r="D51">
        <v>2359</v>
      </c>
      <c r="E51" t="s">
        <v>16</v>
      </c>
      <c r="F51" t="s">
        <v>22</v>
      </c>
      <c r="G51" t="s">
        <v>28</v>
      </c>
      <c r="H51" s="1">
        <v>45359</v>
      </c>
      <c r="I51">
        <v>237.72795533964401</v>
      </c>
      <c r="J51">
        <v>9</v>
      </c>
      <c r="K51">
        <v>2139.5515980567902</v>
      </c>
      <c r="L51">
        <v>641.86547941703896</v>
      </c>
      <c r="M51" t="s">
        <v>34</v>
      </c>
      <c r="N51">
        <f>Supermarket_Sales_Case_Study[[#This Row],[Sales_Amount]]-Supermarket_Sales_Case_Study[[#This Row],[Profit]]</f>
        <v>1497.6861186397514</v>
      </c>
      <c r="O51" s="2">
        <f>(Supermarket_Sales_Case_Study[[#This Row],[Sales_Amount]]-Supermarket_Sales_Case_Study[[#This Row],[Purchase]])/Supermarket_Sales_Case_Study[[#This Row],[Sales_Amount]]</f>
        <v>0.30000000000000082</v>
      </c>
      <c r="P51">
        <f>Supermarket_Sales_Case_Study[[#This Row],[Quantity]]*Supermarket_Sales_Case_Study[[#This Row],[Sales_Amount]]</f>
        <v>19255.964382511112</v>
      </c>
    </row>
    <row r="52" spans="1:16" x14ac:dyDescent="0.3">
      <c r="A52" t="s">
        <v>82</v>
      </c>
      <c r="B52" t="s">
        <v>39</v>
      </c>
      <c r="C52" t="s">
        <v>36</v>
      </c>
      <c r="D52">
        <v>2097</v>
      </c>
      <c r="E52" t="s">
        <v>16</v>
      </c>
      <c r="F52" t="s">
        <v>17</v>
      </c>
      <c r="G52" t="s">
        <v>18</v>
      </c>
      <c r="H52" s="1">
        <v>45372</v>
      </c>
      <c r="I52">
        <v>184.319781731055</v>
      </c>
      <c r="J52">
        <v>4</v>
      </c>
      <c r="K52">
        <v>737.27912692422001</v>
      </c>
      <c r="L52">
        <v>221.18373807726601</v>
      </c>
      <c r="M52" t="s">
        <v>34</v>
      </c>
      <c r="N52">
        <f>Supermarket_Sales_Case_Study[[#This Row],[Sales_Amount]]-Supermarket_Sales_Case_Study[[#This Row],[Profit]]</f>
        <v>516.09538884695394</v>
      </c>
      <c r="O52" s="2">
        <f>(Supermarket_Sales_Case_Study[[#This Row],[Sales_Amount]]-Supermarket_Sales_Case_Study[[#This Row],[Purchase]])/Supermarket_Sales_Case_Study[[#This Row],[Sales_Amount]]</f>
        <v>0.3000000000000001</v>
      </c>
      <c r="P52">
        <f>Supermarket_Sales_Case_Study[[#This Row],[Quantity]]*Supermarket_Sales_Case_Study[[#This Row],[Sales_Amount]]</f>
        <v>2949.11650769688</v>
      </c>
    </row>
    <row r="53" spans="1:16" x14ac:dyDescent="0.3">
      <c r="A53" t="s">
        <v>83</v>
      </c>
      <c r="B53" t="s">
        <v>21</v>
      </c>
      <c r="C53" t="s">
        <v>30</v>
      </c>
      <c r="D53">
        <v>2214</v>
      </c>
      <c r="E53" t="s">
        <v>26</v>
      </c>
      <c r="F53" t="s">
        <v>17</v>
      </c>
      <c r="G53" t="s">
        <v>28</v>
      </c>
      <c r="H53" s="1">
        <v>45308</v>
      </c>
      <c r="I53">
        <v>297.20491677952703</v>
      </c>
      <c r="J53">
        <v>2</v>
      </c>
      <c r="K53">
        <v>594.40983355905496</v>
      </c>
      <c r="L53">
        <v>178.32295006771599</v>
      </c>
      <c r="M53" t="s">
        <v>24</v>
      </c>
      <c r="N53">
        <f>Supermarket_Sales_Case_Study[[#This Row],[Sales_Amount]]-Supermarket_Sales_Case_Study[[#This Row],[Profit]]</f>
        <v>416.08688349133899</v>
      </c>
      <c r="O53" s="2">
        <f>(Supermarket_Sales_Case_Study[[#This Row],[Sales_Amount]]-Supermarket_Sales_Case_Study[[#This Row],[Purchase]])/Supermarket_Sales_Case_Study[[#This Row],[Sales_Amount]]</f>
        <v>0.2999999999999991</v>
      </c>
      <c r="P53">
        <f>Supermarket_Sales_Case_Study[[#This Row],[Quantity]]*Supermarket_Sales_Case_Study[[#This Row],[Sales_Amount]]</f>
        <v>1188.8196671181099</v>
      </c>
    </row>
    <row r="54" spans="1:16" x14ac:dyDescent="0.3">
      <c r="A54" t="s">
        <v>84</v>
      </c>
      <c r="B54" t="s">
        <v>39</v>
      </c>
      <c r="C54" t="s">
        <v>36</v>
      </c>
      <c r="D54">
        <v>1323</v>
      </c>
      <c r="E54" t="s">
        <v>26</v>
      </c>
      <c r="F54" t="s">
        <v>22</v>
      </c>
      <c r="G54" t="s">
        <v>37</v>
      </c>
      <c r="H54" s="1">
        <v>45341</v>
      </c>
      <c r="I54">
        <v>104.32363271812</v>
      </c>
      <c r="J54">
        <v>2</v>
      </c>
      <c r="K54">
        <v>208.64726543623999</v>
      </c>
      <c r="L54">
        <v>62.594179630871999</v>
      </c>
      <c r="M54" t="s">
        <v>24</v>
      </c>
      <c r="N54">
        <f>Supermarket_Sales_Case_Study[[#This Row],[Sales_Amount]]-Supermarket_Sales_Case_Study[[#This Row],[Profit]]</f>
        <v>146.053085805368</v>
      </c>
      <c r="O54" s="2">
        <f>(Supermarket_Sales_Case_Study[[#This Row],[Sales_Amount]]-Supermarket_Sales_Case_Study[[#This Row],[Purchase]])/Supermarket_Sales_Case_Study[[#This Row],[Sales_Amount]]</f>
        <v>0.3</v>
      </c>
      <c r="P54">
        <f>Supermarket_Sales_Case_Study[[#This Row],[Quantity]]*Supermarket_Sales_Case_Study[[#This Row],[Sales_Amount]]</f>
        <v>417.29453087247998</v>
      </c>
    </row>
    <row r="55" spans="1:16" x14ac:dyDescent="0.3">
      <c r="A55" t="s">
        <v>85</v>
      </c>
      <c r="B55" t="s">
        <v>21</v>
      </c>
      <c r="C55" t="s">
        <v>30</v>
      </c>
      <c r="D55">
        <v>2010</v>
      </c>
      <c r="E55" t="s">
        <v>16</v>
      </c>
      <c r="F55" t="s">
        <v>22</v>
      </c>
      <c r="G55" t="s">
        <v>33</v>
      </c>
      <c r="H55" s="1">
        <v>45331</v>
      </c>
      <c r="I55">
        <v>282.96900999013599</v>
      </c>
      <c r="J55">
        <v>5</v>
      </c>
      <c r="K55">
        <v>1414.84504995068</v>
      </c>
      <c r="L55">
        <v>424.453514985205</v>
      </c>
      <c r="M55" t="s">
        <v>24</v>
      </c>
      <c r="N55">
        <f>Supermarket_Sales_Case_Study[[#This Row],[Sales_Amount]]-Supermarket_Sales_Case_Study[[#This Row],[Profit]]</f>
        <v>990.3915349654751</v>
      </c>
      <c r="O55" s="2">
        <f>(Supermarket_Sales_Case_Study[[#This Row],[Sales_Amount]]-Supermarket_Sales_Case_Study[[#This Row],[Purchase]])/Supermarket_Sales_Case_Study[[#This Row],[Sales_Amount]]</f>
        <v>0.30000000000000066</v>
      </c>
      <c r="P55">
        <f>Supermarket_Sales_Case_Study[[#This Row],[Quantity]]*Supermarket_Sales_Case_Study[[#This Row],[Sales_Amount]]</f>
        <v>7074.2252497534</v>
      </c>
    </row>
    <row r="56" spans="1:16" x14ac:dyDescent="0.3">
      <c r="A56" t="s">
        <v>86</v>
      </c>
      <c r="B56" t="s">
        <v>39</v>
      </c>
      <c r="C56" t="s">
        <v>15</v>
      </c>
      <c r="D56">
        <v>2170</v>
      </c>
      <c r="E56" t="s">
        <v>26</v>
      </c>
      <c r="F56" t="s">
        <v>22</v>
      </c>
      <c r="G56" t="s">
        <v>37</v>
      </c>
      <c r="H56" s="1">
        <v>45349</v>
      </c>
      <c r="I56">
        <v>275.27202333738597</v>
      </c>
      <c r="J56">
        <v>4</v>
      </c>
      <c r="K56">
        <v>1101.08809334954</v>
      </c>
      <c r="L56">
        <v>330.32642800486298</v>
      </c>
      <c r="M56" t="s">
        <v>34</v>
      </c>
      <c r="N56">
        <f>Supermarket_Sales_Case_Study[[#This Row],[Sales_Amount]]-Supermarket_Sales_Case_Study[[#This Row],[Profit]]</f>
        <v>770.76166534467711</v>
      </c>
      <c r="O56" s="2">
        <f>(Supermarket_Sales_Case_Study[[#This Row],[Sales_Amount]]-Supermarket_Sales_Case_Study[[#This Row],[Purchase]])/Supermarket_Sales_Case_Study[[#This Row],[Sales_Amount]]</f>
        <v>0.30000000000000082</v>
      </c>
      <c r="P56">
        <f>Supermarket_Sales_Case_Study[[#This Row],[Quantity]]*Supermarket_Sales_Case_Study[[#This Row],[Sales_Amount]]</f>
        <v>4404.3523733981601</v>
      </c>
    </row>
    <row r="57" spans="1:16" x14ac:dyDescent="0.3">
      <c r="A57" t="s">
        <v>87</v>
      </c>
      <c r="B57" t="s">
        <v>14</v>
      </c>
      <c r="C57" t="s">
        <v>30</v>
      </c>
      <c r="D57">
        <v>1283</v>
      </c>
      <c r="E57" t="s">
        <v>16</v>
      </c>
      <c r="F57" t="s">
        <v>17</v>
      </c>
      <c r="G57" t="s">
        <v>18</v>
      </c>
      <c r="H57" s="1">
        <v>45366</v>
      </c>
      <c r="I57">
        <v>13.329391327319501</v>
      </c>
      <c r="J57">
        <v>7</v>
      </c>
      <c r="K57">
        <v>93.305739291237003</v>
      </c>
      <c r="L57">
        <v>27.991721787371102</v>
      </c>
      <c r="M57" t="s">
        <v>34</v>
      </c>
      <c r="N57">
        <f>Supermarket_Sales_Case_Study[[#This Row],[Sales_Amount]]-Supermarket_Sales_Case_Study[[#This Row],[Profit]]</f>
        <v>65.314017503865898</v>
      </c>
      <c r="O57" s="2">
        <f>(Supermarket_Sales_Case_Study[[#This Row],[Sales_Amount]]-Supermarket_Sales_Case_Study[[#This Row],[Purchase]])/Supermarket_Sales_Case_Study[[#This Row],[Sales_Amount]]</f>
        <v>0.30000000000000004</v>
      </c>
      <c r="P57">
        <f>Supermarket_Sales_Case_Study[[#This Row],[Quantity]]*Supermarket_Sales_Case_Study[[#This Row],[Sales_Amount]]</f>
        <v>653.14017503865898</v>
      </c>
    </row>
    <row r="58" spans="1:16" x14ac:dyDescent="0.3">
      <c r="A58" t="s">
        <v>88</v>
      </c>
      <c r="B58" t="s">
        <v>14</v>
      </c>
      <c r="C58" t="s">
        <v>30</v>
      </c>
      <c r="D58">
        <v>1212</v>
      </c>
      <c r="E58" t="s">
        <v>16</v>
      </c>
      <c r="F58" t="s">
        <v>17</v>
      </c>
      <c r="G58" t="s">
        <v>31</v>
      </c>
      <c r="H58" s="1">
        <v>45376</v>
      </c>
      <c r="I58">
        <v>140.533792677695</v>
      </c>
      <c r="J58">
        <v>5</v>
      </c>
      <c r="K58">
        <v>702.66896338847596</v>
      </c>
      <c r="L58">
        <v>210.80068901654201</v>
      </c>
      <c r="M58" t="s">
        <v>19</v>
      </c>
      <c r="N58">
        <f>Supermarket_Sales_Case_Study[[#This Row],[Sales_Amount]]-Supermarket_Sales_Case_Study[[#This Row],[Profit]]</f>
        <v>491.86827437193392</v>
      </c>
      <c r="O58" s="2">
        <f>(Supermarket_Sales_Case_Study[[#This Row],[Sales_Amount]]-Supermarket_Sales_Case_Study[[#This Row],[Purchase]])/Supermarket_Sales_Case_Study[[#This Row],[Sales_Amount]]</f>
        <v>0.29999999999999893</v>
      </c>
      <c r="P58">
        <f>Supermarket_Sales_Case_Study[[#This Row],[Quantity]]*Supermarket_Sales_Case_Study[[#This Row],[Sales_Amount]]</f>
        <v>3513.34481694238</v>
      </c>
    </row>
    <row r="59" spans="1:16" x14ac:dyDescent="0.3">
      <c r="A59" t="s">
        <v>89</v>
      </c>
      <c r="B59" t="s">
        <v>21</v>
      </c>
      <c r="C59" t="s">
        <v>30</v>
      </c>
      <c r="D59">
        <v>1928</v>
      </c>
      <c r="E59" t="s">
        <v>26</v>
      </c>
      <c r="F59" t="s">
        <v>17</v>
      </c>
      <c r="G59" t="s">
        <v>31</v>
      </c>
      <c r="H59" s="1">
        <v>45312</v>
      </c>
      <c r="I59">
        <v>293.36022758495602</v>
      </c>
      <c r="J59">
        <v>6</v>
      </c>
      <c r="K59">
        <v>1760.1613655097301</v>
      </c>
      <c r="L59">
        <v>528.04840965292101</v>
      </c>
      <c r="M59" t="s">
        <v>34</v>
      </c>
      <c r="N59">
        <f>Supermarket_Sales_Case_Study[[#This Row],[Sales_Amount]]-Supermarket_Sales_Case_Study[[#This Row],[Profit]]</f>
        <v>1232.1129558568091</v>
      </c>
      <c r="O59" s="2">
        <f>(Supermarket_Sales_Case_Study[[#This Row],[Sales_Amount]]-Supermarket_Sales_Case_Study[[#This Row],[Purchase]])/Supermarket_Sales_Case_Study[[#This Row],[Sales_Amount]]</f>
        <v>0.3000000000000011</v>
      </c>
      <c r="P59">
        <f>Supermarket_Sales_Case_Study[[#This Row],[Quantity]]*Supermarket_Sales_Case_Study[[#This Row],[Sales_Amount]]</f>
        <v>10560.968193058381</v>
      </c>
    </row>
    <row r="60" spans="1:16" x14ac:dyDescent="0.3">
      <c r="A60" t="s">
        <v>90</v>
      </c>
      <c r="B60" t="s">
        <v>14</v>
      </c>
      <c r="C60" t="s">
        <v>30</v>
      </c>
      <c r="D60">
        <v>1751</v>
      </c>
      <c r="E60" t="s">
        <v>16</v>
      </c>
      <c r="F60" t="s">
        <v>22</v>
      </c>
      <c r="G60" t="s">
        <v>37</v>
      </c>
      <c r="H60" s="1">
        <v>45309</v>
      </c>
      <c r="I60">
        <v>39.905195098341899</v>
      </c>
      <c r="J60">
        <v>4</v>
      </c>
      <c r="K60">
        <v>159.620780393367</v>
      </c>
      <c r="L60">
        <v>47.8862341180103</v>
      </c>
      <c r="M60" t="s">
        <v>24</v>
      </c>
      <c r="N60">
        <f>Supermarket_Sales_Case_Study[[#This Row],[Sales_Amount]]-Supermarket_Sales_Case_Study[[#This Row],[Profit]]</f>
        <v>111.73454627535671</v>
      </c>
      <c r="O60" s="2">
        <f>(Supermarket_Sales_Case_Study[[#This Row],[Sales_Amount]]-Supermarket_Sales_Case_Study[[#This Row],[Purchase]])/Supermarket_Sales_Case_Study[[#This Row],[Sales_Amount]]</f>
        <v>0.30000000000000121</v>
      </c>
      <c r="P60">
        <f>Supermarket_Sales_Case_Study[[#This Row],[Quantity]]*Supermarket_Sales_Case_Study[[#This Row],[Sales_Amount]]</f>
        <v>638.483121573468</v>
      </c>
    </row>
    <row r="61" spans="1:16" x14ac:dyDescent="0.3">
      <c r="A61" t="s">
        <v>91</v>
      </c>
      <c r="B61" t="s">
        <v>14</v>
      </c>
      <c r="C61" t="s">
        <v>15</v>
      </c>
      <c r="D61">
        <v>2417</v>
      </c>
      <c r="E61" t="s">
        <v>16</v>
      </c>
      <c r="F61" t="s">
        <v>17</v>
      </c>
      <c r="G61" t="s">
        <v>23</v>
      </c>
      <c r="H61" s="1">
        <v>45346</v>
      </c>
      <c r="I61">
        <v>168.85756137116201</v>
      </c>
      <c r="J61">
        <v>2</v>
      </c>
      <c r="K61">
        <v>337.71512274232498</v>
      </c>
      <c r="L61">
        <v>101.31453682269699</v>
      </c>
      <c r="M61" t="s">
        <v>34</v>
      </c>
      <c r="N61">
        <f>Supermarket_Sales_Case_Study[[#This Row],[Sales_Amount]]-Supermarket_Sales_Case_Study[[#This Row],[Profit]]</f>
        <v>236.40058591962799</v>
      </c>
      <c r="O61" s="2">
        <f>(Supermarket_Sales_Case_Study[[#This Row],[Sales_Amount]]-Supermarket_Sales_Case_Study[[#This Row],[Purchase]])/Supermarket_Sales_Case_Study[[#This Row],[Sales_Amount]]</f>
        <v>0.29999999999999855</v>
      </c>
      <c r="P61">
        <f>Supermarket_Sales_Case_Study[[#This Row],[Quantity]]*Supermarket_Sales_Case_Study[[#This Row],[Sales_Amount]]</f>
        <v>675.43024548464996</v>
      </c>
    </row>
    <row r="62" spans="1:16" x14ac:dyDescent="0.3">
      <c r="A62" t="s">
        <v>92</v>
      </c>
      <c r="B62" t="s">
        <v>39</v>
      </c>
      <c r="C62" t="s">
        <v>15</v>
      </c>
      <c r="D62">
        <v>1338</v>
      </c>
      <c r="E62" t="s">
        <v>16</v>
      </c>
      <c r="F62" t="s">
        <v>17</v>
      </c>
      <c r="G62" t="s">
        <v>33</v>
      </c>
      <c r="H62" s="1">
        <v>45320</v>
      </c>
      <c r="I62">
        <v>293.89767704192002</v>
      </c>
      <c r="J62">
        <v>9</v>
      </c>
      <c r="K62">
        <v>2645.0790933772801</v>
      </c>
      <c r="L62">
        <v>793.52372801318404</v>
      </c>
      <c r="M62" t="s">
        <v>19</v>
      </c>
      <c r="N62">
        <f>Supermarket_Sales_Case_Study[[#This Row],[Sales_Amount]]-Supermarket_Sales_Case_Study[[#This Row],[Profit]]</f>
        <v>1851.5553653640959</v>
      </c>
      <c r="O62" s="2">
        <f>(Supermarket_Sales_Case_Study[[#This Row],[Sales_Amount]]-Supermarket_Sales_Case_Study[[#This Row],[Purchase]])/Supermarket_Sales_Case_Study[[#This Row],[Sales_Amount]]</f>
        <v>0.30000000000000004</v>
      </c>
      <c r="P62">
        <f>Supermarket_Sales_Case_Study[[#This Row],[Quantity]]*Supermarket_Sales_Case_Study[[#This Row],[Sales_Amount]]</f>
        <v>23805.711840395521</v>
      </c>
    </row>
    <row r="63" spans="1:16" x14ac:dyDescent="0.3">
      <c r="A63" t="s">
        <v>93</v>
      </c>
      <c r="B63" t="s">
        <v>21</v>
      </c>
      <c r="C63" t="s">
        <v>36</v>
      </c>
      <c r="D63">
        <v>2045</v>
      </c>
      <c r="E63" t="s">
        <v>16</v>
      </c>
      <c r="F63" t="s">
        <v>22</v>
      </c>
      <c r="G63" t="s">
        <v>33</v>
      </c>
      <c r="H63" s="1">
        <v>45315</v>
      </c>
      <c r="I63">
        <v>171.09367299069899</v>
      </c>
      <c r="J63">
        <v>7</v>
      </c>
      <c r="K63">
        <v>1197.6557109348901</v>
      </c>
      <c r="L63">
        <v>359.296713280468</v>
      </c>
      <c r="M63" t="s">
        <v>19</v>
      </c>
      <c r="N63">
        <f>Supermarket_Sales_Case_Study[[#This Row],[Sales_Amount]]-Supermarket_Sales_Case_Study[[#This Row],[Profit]]</f>
        <v>838.35899765442207</v>
      </c>
      <c r="O63" s="2">
        <f>(Supermarket_Sales_Case_Study[[#This Row],[Sales_Amount]]-Supermarket_Sales_Case_Study[[#This Row],[Purchase]])/Supermarket_Sales_Case_Study[[#This Row],[Sales_Amount]]</f>
        <v>0.30000000000000082</v>
      </c>
      <c r="P63">
        <f>Supermarket_Sales_Case_Study[[#This Row],[Quantity]]*Supermarket_Sales_Case_Study[[#This Row],[Sales_Amount]]</f>
        <v>8383.58997654423</v>
      </c>
    </row>
    <row r="64" spans="1:16" x14ac:dyDescent="0.3">
      <c r="A64" t="s">
        <v>94</v>
      </c>
      <c r="B64" t="s">
        <v>39</v>
      </c>
      <c r="C64" t="s">
        <v>15</v>
      </c>
      <c r="D64">
        <v>1104</v>
      </c>
      <c r="E64" t="s">
        <v>26</v>
      </c>
      <c r="F64" t="s">
        <v>17</v>
      </c>
      <c r="G64" t="s">
        <v>31</v>
      </c>
      <c r="H64" s="1">
        <v>45365</v>
      </c>
      <c r="I64">
        <v>65.046437861925199</v>
      </c>
      <c r="J64">
        <v>4</v>
      </c>
      <c r="K64">
        <v>260.1857514477</v>
      </c>
      <c r="L64">
        <v>78.055725434310204</v>
      </c>
      <c r="M64" t="s">
        <v>24</v>
      </c>
      <c r="N64">
        <f>Supermarket_Sales_Case_Study[[#This Row],[Sales_Amount]]-Supermarket_Sales_Case_Study[[#This Row],[Profit]]</f>
        <v>182.1300260133898</v>
      </c>
      <c r="O64" s="2">
        <f>(Supermarket_Sales_Case_Study[[#This Row],[Sales_Amount]]-Supermarket_Sales_Case_Study[[#This Row],[Purchase]])/Supermarket_Sales_Case_Study[[#This Row],[Sales_Amount]]</f>
        <v>0.30000000000000077</v>
      </c>
      <c r="P64">
        <f>Supermarket_Sales_Case_Study[[#This Row],[Quantity]]*Supermarket_Sales_Case_Study[[#This Row],[Sales_Amount]]</f>
        <v>1040.7430057908</v>
      </c>
    </row>
    <row r="65" spans="1:16" x14ac:dyDescent="0.3">
      <c r="A65" t="s">
        <v>95</v>
      </c>
      <c r="B65" t="s">
        <v>39</v>
      </c>
      <c r="C65" t="s">
        <v>15</v>
      </c>
      <c r="D65">
        <v>2489</v>
      </c>
      <c r="E65" t="s">
        <v>16</v>
      </c>
      <c r="F65" t="s">
        <v>17</v>
      </c>
      <c r="G65" t="s">
        <v>28</v>
      </c>
      <c r="H65" s="1">
        <v>45308</v>
      </c>
      <c r="I65">
        <v>178.833136726851</v>
      </c>
      <c r="J65">
        <v>3</v>
      </c>
      <c r="K65">
        <v>536.49941018055301</v>
      </c>
      <c r="L65">
        <v>160.94982305416499</v>
      </c>
      <c r="M65" t="s">
        <v>24</v>
      </c>
      <c r="N65">
        <f>Supermarket_Sales_Case_Study[[#This Row],[Sales_Amount]]-Supermarket_Sales_Case_Study[[#This Row],[Profit]]</f>
        <v>375.54958712638802</v>
      </c>
      <c r="O65" s="2">
        <f>(Supermarket_Sales_Case_Study[[#This Row],[Sales_Amount]]-Supermarket_Sales_Case_Study[[#This Row],[Purchase]])/Supermarket_Sales_Case_Study[[#This Row],[Sales_Amount]]</f>
        <v>0.29999999999999832</v>
      </c>
      <c r="P65">
        <f>Supermarket_Sales_Case_Study[[#This Row],[Quantity]]*Supermarket_Sales_Case_Study[[#This Row],[Sales_Amount]]</f>
        <v>1609.498230541659</v>
      </c>
    </row>
    <row r="66" spans="1:16" x14ac:dyDescent="0.3">
      <c r="A66" t="s">
        <v>96</v>
      </c>
      <c r="B66" t="s">
        <v>39</v>
      </c>
      <c r="C66" t="s">
        <v>36</v>
      </c>
      <c r="D66">
        <v>2482</v>
      </c>
      <c r="E66" t="s">
        <v>16</v>
      </c>
      <c r="F66" t="s">
        <v>22</v>
      </c>
      <c r="G66" t="s">
        <v>18</v>
      </c>
      <c r="H66" s="1">
        <v>45309</v>
      </c>
      <c r="I66">
        <v>69.287766445368504</v>
      </c>
      <c r="J66">
        <v>3</v>
      </c>
      <c r="K66">
        <v>207.863299336105</v>
      </c>
      <c r="L66">
        <v>62.358989800831701</v>
      </c>
      <c r="M66" t="s">
        <v>19</v>
      </c>
      <c r="N66">
        <f>Supermarket_Sales_Case_Study[[#This Row],[Sales_Amount]]-Supermarket_Sales_Case_Study[[#This Row],[Profit]]</f>
        <v>145.50430953527331</v>
      </c>
      <c r="O66" s="2">
        <f>(Supermarket_Sales_Case_Study[[#This Row],[Sales_Amount]]-Supermarket_Sales_Case_Study[[#This Row],[Purchase]])/Supermarket_Sales_Case_Study[[#This Row],[Sales_Amount]]</f>
        <v>0.30000000000000093</v>
      </c>
      <c r="P66">
        <f>Supermarket_Sales_Case_Study[[#This Row],[Quantity]]*Supermarket_Sales_Case_Study[[#This Row],[Sales_Amount]]</f>
        <v>623.589898008315</v>
      </c>
    </row>
    <row r="67" spans="1:16" x14ac:dyDescent="0.3">
      <c r="A67" t="s">
        <v>97</v>
      </c>
      <c r="B67" t="s">
        <v>39</v>
      </c>
      <c r="C67" t="s">
        <v>15</v>
      </c>
      <c r="D67">
        <v>2455</v>
      </c>
      <c r="E67" t="s">
        <v>16</v>
      </c>
      <c r="F67" t="s">
        <v>17</v>
      </c>
      <c r="G67" t="s">
        <v>28</v>
      </c>
      <c r="H67" s="1">
        <v>45333</v>
      </c>
      <c r="I67">
        <v>160.71423623940001</v>
      </c>
      <c r="J67">
        <v>9</v>
      </c>
      <c r="K67">
        <v>1446.4281261546</v>
      </c>
      <c r="L67">
        <v>433.92843784638097</v>
      </c>
      <c r="M67" t="s">
        <v>19</v>
      </c>
      <c r="N67">
        <f>Supermarket_Sales_Case_Study[[#This Row],[Sales_Amount]]-Supermarket_Sales_Case_Study[[#This Row],[Profit]]</f>
        <v>1012.499688308219</v>
      </c>
      <c r="O67" s="2">
        <f>(Supermarket_Sales_Case_Study[[#This Row],[Sales_Amount]]-Supermarket_Sales_Case_Study[[#This Row],[Purchase]])/Supermarket_Sales_Case_Study[[#This Row],[Sales_Amount]]</f>
        <v>0.30000000000000071</v>
      </c>
      <c r="P67">
        <f>Supermarket_Sales_Case_Study[[#This Row],[Quantity]]*Supermarket_Sales_Case_Study[[#This Row],[Sales_Amount]]</f>
        <v>13017.8531353914</v>
      </c>
    </row>
    <row r="68" spans="1:16" x14ac:dyDescent="0.3">
      <c r="A68" t="s">
        <v>98</v>
      </c>
      <c r="B68" t="s">
        <v>39</v>
      </c>
      <c r="C68" t="s">
        <v>30</v>
      </c>
      <c r="D68">
        <v>1769</v>
      </c>
      <c r="E68" t="s">
        <v>26</v>
      </c>
      <c r="F68" t="s">
        <v>22</v>
      </c>
      <c r="G68" t="s">
        <v>28</v>
      </c>
      <c r="H68" s="1">
        <v>45375</v>
      </c>
      <c r="I68">
        <v>31.472243194580901</v>
      </c>
      <c r="J68">
        <v>5</v>
      </c>
      <c r="K68">
        <v>157.36121597290401</v>
      </c>
      <c r="L68">
        <v>47.208364791871297</v>
      </c>
      <c r="M68" t="s">
        <v>19</v>
      </c>
      <c r="N68">
        <f>Supermarket_Sales_Case_Study[[#This Row],[Sales_Amount]]-Supermarket_Sales_Case_Study[[#This Row],[Profit]]</f>
        <v>110.1528511810327</v>
      </c>
      <c r="O68" s="2">
        <f>(Supermarket_Sales_Case_Study[[#This Row],[Sales_Amount]]-Supermarket_Sales_Case_Study[[#This Row],[Purchase]])/Supermarket_Sales_Case_Study[[#This Row],[Sales_Amount]]</f>
        <v>0.30000000000000066</v>
      </c>
      <c r="P68">
        <f>Supermarket_Sales_Case_Study[[#This Row],[Quantity]]*Supermarket_Sales_Case_Study[[#This Row],[Sales_Amount]]</f>
        <v>786.80607986452003</v>
      </c>
    </row>
    <row r="69" spans="1:16" x14ac:dyDescent="0.3">
      <c r="A69" t="s">
        <v>99</v>
      </c>
      <c r="B69" t="s">
        <v>39</v>
      </c>
      <c r="C69" t="s">
        <v>30</v>
      </c>
      <c r="D69">
        <v>1715</v>
      </c>
      <c r="E69" t="s">
        <v>16</v>
      </c>
      <c r="F69" t="s">
        <v>22</v>
      </c>
      <c r="G69" t="s">
        <v>37</v>
      </c>
      <c r="H69" s="1">
        <v>45336</v>
      </c>
      <c r="I69">
        <v>185.589974072177</v>
      </c>
      <c r="J69">
        <v>3</v>
      </c>
      <c r="K69">
        <v>556.769922216532</v>
      </c>
      <c r="L69">
        <v>167.03097666495901</v>
      </c>
      <c r="M69" t="s">
        <v>24</v>
      </c>
      <c r="N69">
        <f>Supermarket_Sales_Case_Study[[#This Row],[Sales_Amount]]-Supermarket_Sales_Case_Study[[#This Row],[Profit]]</f>
        <v>389.73894555157301</v>
      </c>
      <c r="O69" s="2">
        <f>(Supermarket_Sales_Case_Study[[#This Row],[Sales_Amount]]-Supermarket_Sales_Case_Study[[#This Row],[Purchase]])/Supermarket_Sales_Case_Study[[#This Row],[Sales_Amount]]</f>
        <v>0.29999999999999888</v>
      </c>
      <c r="P69">
        <f>Supermarket_Sales_Case_Study[[#This Row],[Quantity]]*Supermarket_Sales_Case_Study[[#This Row],[Sales_Amount]]</f>
        <v>1670.309766649596</v>
      </c>
    </row>
    <row r="70" spans="1:16" x14ac:dyDescent="0.3">
      <c r="A70" t="s">
        <v>100</v>
      </c>
      <c r="B70" t="s">
        <v>39</v>
      </c>
      <c r="C70" t="s">
        <v>36</v>
      </c>
      <c r="D70">
        <v>1762</v>
      </c>
      <c r="E70" t="s">
        <v>26</v>
      </c>
      <c r="F70" t="s">
        <v>22</v>
      </c>
      <c r="G70" t="s">
        <v>31</v>
      </c>
      <c r="H70" s="1">
        <v>45373</v>
      </c>
      <c r="I70">
        <v>159.869082347165</v>
      </c>
      <c r="J70">
        <v>5</v>
      </c>
      <c r="K70">
        <v>799.34541173582897</v>
      </c>
      <c r="L70">
        <v>239.803623520748</v>
      </c>
      <c r="M70" t="s">
        <v>19</v>
      </c>
      <c r="N70">
        <f>Supermarket_Sales_Case_Study[[#This Row],[Sales_Amount]]-Supermarket_Sales_Case_Study[[#This Row],[Profit]]</f>
        <v>559.54178821508094</v>
      </c>
      <c r="O70" s="2">
        <f>(Supermarket_Sales_Case_Study[[#This Row],[Sales_Amount]]-Supermarket_Sales_Case_Study[[#This Row],[Purchase]])/Supermarket_Sales_Case_Study[[#This Row],[Sales_Amount]]</f>
        <v>0.29999999999999916</v>
      </c>
      <c r="P70">
        <f>Supermarket_Sales_Case_Study[[#This Row],[Quantity]]*Supermarket_Sales_Case_Study[[#This Row],[Sales_Amount]]</f>
        <v>3996.7270586791446</v>
      </c>
    </row>
    <row r="71" spans="1:16" x14ac:dyDescent="0.3">
      <c r="A71" t="s">
        <v>101</v>
      </c>
      <c r="B71" t="s">
        <v>21</v>
      </c>
      <c r="C71" t="s">
        <v>36</v>
      </c>
      <c r="D71">
        <v>2244</v>
      </c>
      <c r="E71" t="s">
        <v>26</v>
      </c>
      <c r="F71" t="s">
        <v>22</v>
      </c>
      <c r="G71" t="s">
        <v>31</v>
      </c>
      <c r="H71" s="1">
        <v>45308</v>
      </c>
      <c r="I71">
        <v>224.646796940824</v>
      </c>
      <c r="J71">
        <v>2</v>
      </c>
      <c r="K71">
        <v>449.29359388164801</v>
      </c>
      <c r="L71">
        <v>134.78807816449401</v>
      </c>
      <c r="M71" t="s">
        <v>19</v>
      </c>
      <c r="N71">
        <f>Supermarket_Sales_Case_Study[[#This Row],[Sales_Amount]]-Supermarket_Sales_Case_Study[[#This Row],[Profit]]</f>
        <v>314.50551571715403</v>
      </c>
      <c r="O71" s="2">
        <f>(Supermarket_Sales_Case_Study[[#This Row],[Sales_Amount]]-Supermarket_Sales_Case_Study[[#This Row],[Purchase]])/Supermarket_Sales_Case_Study[[#This Row],[Sales_Amount]]</f>
        <v>0.29999999999999905</v>
      </c>
      <c r="P71">
        <f>Supermarket_Sales_Case_Study[[#This Row],[Quantity]]*Supermarket_Sales_Case_Study[[#This Row],[Sales_Amount]]</f>
        <v>898.58718776329601</v>
      </c>
    </row>
    <row r="72" spans="1:16" x14ac:dyDescent="0.3">
      <c r="A72" t="s">
        <v>102</v>
      </c>
      <c r="B72" t="s">
        <v>14</v>
      </c>
      <c r="C72" t="s">
        <v>36</v>
      </c>
      <c r="D72">
        <v>1378</v>
      </c>
      <c r="E72" t="s">
        <v>16</v>
      </c>
      <c r="F72" t="s">
        <v>22</v>
      </c>
      <c r="G72" t="s">
        <v>31</v>
      </c>
      <c r="H72" s="1">
        <v>45364</v>
      </c>
      <c r="I72">
        <v>192.90313663604701</v>
      </c>
      <c r="J72">
        <v>4</v>
      </c>
      <c r="K72">
        <v>771.61254654418997</v>
      </c>
      <c r="L72">
        <v>231.48376396325699</v>
      </c>
      <c r="M72" t="s">
        <v>24</v>
      </c>
      <c r="N72">
        <f>Supermarket_Sales_Case_Study[[#This Row],[Sales_Amount]]-Supermarket_Sales_Case_Study[[#This Row],[Profit]]</f>
        <v>540.12878258093292</v>
      </c>
      <c r="O72" s="2">
        <f>(Supermarket_Sales_Case_Study[[#This Row],[Sales_Amount]]-Supermarket_Sales_Case_Study[[#This Row],[Purchase]])/Supermarket_Sales_Case_Study[[#This Row],[Sales_Amount]]</f>
        <v>0.3000000000000001</v>
      </c>
      <c r="P72">
        <f>Supermarket_Sales_Case_Study[[#This Row],[Quantity]]*Supermarket_Sales_Case_Study[[#This Row],[Sales_Amount]]</f>
        <v>3086.4501861767599</v>
      </c>
    </row>
    <row r="73" spans="1:16" x14ac:dyDescent="0.3">
      <c r="A73" t="s">
        <v>103</v>
      </c>
      <c r="B73" t="s">
        <v>39</v>
      </c>
      <c r="C73" t="s">
        <v>30</v>
      </c>
      <c r="D73">
        <v>2245</v>
      </c>
      <c r="E73" t="s">
        <v>16</v>
      </c>
      <c r="F73" t="s">
        <v>17</v>
      </c>
      <c r="G73" t="s">
        <v>37</v>
      </c>
      <c r="H73" s="1">
        <v>45305</v>
      </c>
      <c r="I73">
        <v>169.385817873919</v>
      </c>
      <c r="J73">
        <v>2</v>
      </c>
      <c r="K73">
        <v>338.77163574783799</v>
      </c>
      <c r="L73">
        <v>101.631490724351</v>
      </c>
      <c r="M73" t="s">
        <v>34</v>
      </c>
      <c r="N73">
        <f>Supermarket_Sales_Case_Study[[#This Row],[Sales_Amount]]-Supermarket_Sales_Case_Study[[#This Row],[Profit]]</f>
        <v>237.14014502348698</v>
      </c>
      <c r="O73" s="2">
        <f>(Supermarket_Sales_Case_Study[[#This Row],[Sales_Amount]]-Supermarket_Sales_Case_Study[[#This Row],[Purchase]])/Supermarket_Sales_Case_Study[[#This Row],[Sales_Amount]]</f>
        <v>0.29999999999999888</v>
      </c>
      <c r="P73">
        <f>Supermarket_Sales_Case_Study[[#This Row],[Quantity]]*Supermarket_Sales_Case_Study[[#This Row],[Sales_Amount]]</f>
        <v>677.54327149567598</v>
      </c>
    </row>
    <row r="74" spans="1:16" x14ac:dyDescent="0.3">
      <c r="A74" t="s">
        <v>104</v>
      </c>
      <c r="B74" t="s">
        <v>39</v>
      </c>
      <c r="C74" t="s">
        <v>15</v>
      </c>
      <c r="D74">
        <v>2281</v>
      </c>
      <c r="E74" t="s">
        <v>26</v>
      </c>
      <c r="F74" t="s">
        <v>17</v>
      </c>
      <c r="G74" t="s">
        <v>23</v>
      </c>
      <c r="H74" s="1">
        <v>45340</v>
      </c>
      <c r="I74">
        <v>210.03586628195501</v>
      </c>
      <c r="J74">
        <v>2</v>
      </c>
      <c r="K74">
        <v>420.07173256391002</v>
      </c>
      <c r="L74">
        <v>126.021519769173</v>
      </c>
      <c r="M74" t="s">
        <v>34</v>
      </c>
      <c r="N74">
        <f>Supermarket_Sales_Case_Study[[#This Row],[Sales_Amount]]-Supermarket_Sales_Case_Study[[#This Row],[Profit]]</f>
        <v>294.05021279473704</v>
      </c>
      <c r="O74" s="2">
        <f>(Supermarket_Sales_Case_Study[[#This Row],[Sales_Amount]]-Supermarket_Sales_Case_Study[[#This Row],[Purchase]])/Supermarket_Sales_Case_Study[[#This Row],[Sales_Amount]]</f>
        <v>0.29999999999999993</v>
      </c>
      <c r="P74">
        <f>Supermarket_Sales_Case_Study[[#This Row],[Quantity]]*Supermarket_Sales_Case_Study[[#This Row],[Sales_Amount]]</f>
        <v>840.14346512782004</v>
      </c>
    </row>
    <row r="75" spans="1:16" x14ac:dyDescent="0.3">
      <c r="A75" t="s">
        <v>105</v>
      </c>
      <c r="B75" t="s">
        <v>39</v>
      </c>
      <c r="C75" t="s">
        <v>30</v>
      </c>
      <c r="D75">
        <v>1712</v>
      </c>
      <c r="E75" t="s">
        <v>16</v>
      </c>
      <c r="F75" t="s">
        <v>22</v>
      </c>
      <c r="G75" t="s">
        <v>28</v>
      </c>
      <c r="H75" s="1">
        <v>45320</v>
      </c>
      <c r="I75">
        <v>51.743154935946897</v>
      </c>
      <c r="J75">
        <v>8</v>
      </c>
      <c r="K75">
        <v>413.94523948757501</v>
      </c>
      <c r="L75">
        <v>124.183571846272</v>
      </c>
      <c r="M75" t="s">
        <v>19</v>
      </c>
      <c r="N75">
        <f>Supermarket_Sales_Case_Study[[#This Row],[Sales_Amount]]-Supermarket_Sales_Case_Study[[#This Row],[Profit]]</f>
        <v>289.76166764130301</v>
      </c>
      <c r="O75" s="2">
        <f>(Supermarket_Sales_Case_Study[[#This Row],[Sales_Amount]]-Supermarket_Sales_Case_Study[[#This Row],[Purchase]])/Supermarket_Sales_Case_Study[[#This Row],[Sales_Amount]]</f>
        <v>0.29999999999999877</v>
      </c>
      <c r="P75">
        <f>Supermarket_Sales_Case_Study[[#This Row],[Quantity]]*Supermarket_Sales_Case_Study[[#This Row],[Sales_Amount]]</f>
        <v>3311.5619159006001</v>
      </c>
    </row>
    <row r="76" spans="1:16" x14ac:dyDescent="0.3">
      <c r="A76" t="s">
        <v>106</v>
      </c>
      <c r="B76" t="s">
        <v>39</v>
      </c>
      <c r="C76" t="s">
        <v>36</v>
      </c>
      <c r="D76">
        <v>2390</v>
      </c>
      <c r="E76" t="s">
        <v>26</v>
      </c>
      <c r="F76" t="s">
        <v>22</v>
      </c>
      <c r="G76" t="s">
        <v>37</v>
      </c>
      <c r="H76" s="1">
        <v>45295</v>
      </c>
      <c r="I76">
        <v>182.65430176499501</v>
      </c>
      <c r="J76">
        <v>1</v>
      </c>
      <c r="K76">
        <v>182.65430176499501</v>
      </c>
      <c r="L76">
        <v>54.796290529498499</v>
      </c>
      <c r="M76" t="s">
        <v>34</v>
      </c>
      <c r="N76">
        <f>Supermarket_Sales_Case_Study[[#This Row],[Sales_Amount]]-Supermarket_Sales_Case_Study[[#This Row],[Profit]]</f>
        <v>127.85801123549652</v>
      </c>
      <c r="O76" s="2">
        <f>(Supermarket_Sales_Case_Study[[#This Row],[Sales_Amount]]-Supermarket_Sales_Case_Study[[#This Row],[Purchase]])/Supermarket_Sales_Case_Study[[#This Row],[Sales_Amount]]</f>
        <v>0.29999999999999993</v>
      </c>
      <c r="P76">
        <f>Supermarket_Sales_Case_Study[[#This Row],[Quantity]]*Supermarket_Sales_Case_Study[[#This Row],[Sales_Amount]]</f>
        <v>182.65430176499501</v>
      </c>
    </row>
    <row r="77" spans="1:16" x14ac:dyDescent="0.3">
      <c r="A77" t="s">
        <v>107</v>
      </c>
      <c r="B77" t="s">
        <v>39</v>
      </c>
      <c r="C77" t="s">
        <v>15</v>
      </c>
      <c r="D77">
        <v>2372</v>
      </c>
      <c r="E77" t="s">
        <v>26</v>
      </c>
      <c r="F77" t="s">
        <v>17</v>
      </c>
      <c r="G77" t="s">
        <v>33</v>
      </c>
      <c r="H77" s="1">
        <v>45373</v>
      </c>
      <c r="I77">
        <v>59.912074818605497</v>
      </c>
      <c r="J77">
        <v>7</v>
      </c>
      <c r="K77">
        <v>419.38452373023802</v>
      </c>
      <c r="L77">
        <v>125.815357119071</v>
      </c>
      <c r="M77" t="s">
        <v>34</v>
      </c>
      <c r="N77">
        <f>Supermarket_Sales_Case_Study[[#This Row],[Sales_Amount]]-Supermarket_Sales_Case_Study[[#This Row],[Profit]]</f>
        <v>293.56916661116702</v>
      </c>
      <c r="O77" s="2">
        <f>(Supermarket_Sales_Case_Study[[#This Row],[Sales_Amount]]-Supermarket_Sales_Case_Study[[#This Row],[Purchase]])/Supermarket_Sales_Case_Study[[#This Row],[Sales_Amount]]</f>
        <v>0.29999999999999905</v>
      </c>
      <c r="P77">
        <f>Supermarket_Sales_Case_Study[[#This Row],[Quantity]]*Supermarket_Sales_Case_Study[[#This Row],[Sales_Amount]]</f>
        <v>2935.6916661116661</v>
      </c>
    </row>
    <row r="78" spans="1:16" x14ac:dyDescent="0.3">
      <c r="A78" t="s">
        <v>108</v>
      </c>
      <c r="B78" t="s">
        <v>39</v>
      </c>
      <c r="C78" t="s">
        <v>15</v>
      </c>
      <c r="D78">
        <v>1224</v>
      </c>
      <c r="E78" t="s">
        <v>16</v>
      </c>
      <c r="F78" t="s">
        <v>22</v>
      </c>
      <c r="G78" t="s">
        <v>18</v>
      </c>
      <c r="H78" s="1">
        <v>45311</v>
      </c>
      <c r="I78">
        <v>278.40144027704503</v>
      </c>
      <c r="J78">
        <v>5</v>
      </c>
      <c r="K78">
        <v>1392.00720138522</v>
      </c>
      <c r="L78">
        <v>417.60216041556799</v>
      </c>
      <c r="M78" t="s">
        <v>34</v>
      </c>
      <c r="N78">
        <f>Supermarket_Sales_Case_Study[[#This Row],[Sales_Amount]]-Supermarket_Sales_Case_Study[[#This Row],[Profit]]</f>
        <v>974.40504096965196</v>
      </c>
      <c r="O78" s="2">
        <f>(Supermarket_Sales_Case_Study[[#This Row],[Sales_Amount]]-Supermarket_Sales_Case_Study[[#This Row],[Purchase]])/Supermarket_Sales_Case_Study[[#This Row],[Sales_Amount]]</f>
        <v>0.30000000000000149</v>
      </c>
      <c r="P78">
        <f>Supermarket_Sales_Case_Study[[#This Row],[Quantity]]*Supermarket_Sales_Case_Study[[#This Row],[Sales_Amount]]</f>
        <v>6960.0360069261005</v>
      </c>
    </row>
    <row r="79" spans="1:16" x14ac:dyDescent="0.3">
      <c r="A79" t="s">
        <v>109</v>
      </c>
      <c r="B79" t="s">
        <v>14</v>
      </c>
      <c r="C79" t="s">
        <v>30</v>
      </c>
      <c r="D79">
        <v>1737</v>
      </c>
      <c r="E79" t="s">
        <v>16</v>
      </c>
      <c r="F79" t="s">
        <v>22</v>
      </c>
      <c r="G79" t="s">
        <v>23</v>
      </c>
      <c r="H79" s="1">
        <v>45338</v>
      </c>
      <c r="I79">
        <v>29.816890405225202</v>
      </c>
      <c r="J79">
        <v>8</v>
      </c>
      <c r="K79">
        <v>238.53512324180099</v>
      </c>
      <c r="L79">
        <v>71.560536972540504</v>
      </c>
      <c r="M79" t="s">
        <v>34</v>
      </c>
      <c r="N79">
        <f>Supermarket_Sales_Case_Study[[#This Row],[Sales_Amount]]-Supermarket_Sales_Case_Study[[#This Row],[Profit]]</f>
        <v>166.9745862692605</v>
      </c>
      <c r="O79" s="2">
        <f>(Supermarket_Sales_Case_Study[[#This Row],[Sales_Amount]]-Supermarket_Sales_Case_Study[[#This Row],[Purchase]])/Supermarket_Sales_Case_Study[[#This Row],[Sales_Amount]]</f>
        <v>0.30000000000000082</v>
      </c>
      <c r="P79">
        <f>Supermarket_Sales_Case_Study[[#This Row],[Quantity]]*Supermarket_Sales_Case_Study[[#This Row],[Sales_Amount]]</f>
        <v>1908.2809859344079</v>
      </c>
    </row>
    <row r="80" spans="1:16" x14ac:dyDescent="0.3">
      <c r="A80" t="s">
        <v>110</v>
      </c>
      <c r="B80" t="s">
        <v>14</v>
      </c>
      <c r="C80" t="s">
        <v>36</v>
      </c>
      <c r="D80">
        <v>1235</v>
      </c>
      <c r="E80" t="s">
        <v>26</v>
      </c>
      <c r="F80" t="s">
        <v>22</v>
      </c>
      <c r="G80" t="s">
        <v>33</v>
      </c>
      <c r="H80" s="1">
        <v>45300</v>
      </c>
      <c r="I80">
        <v>134.80867741033001</v>
      </c>
      <c r="J80">
        <v>1</v>
      </c>
      <c r="K80">
        <v>134.80867741033001</v>
      </c>
      <c r="L80">
        <v>40.442603223098999</v>
      </c>
      <c r="M80" t="s">
        <v>19</v>
      </c>
      <c r="N80">
        <f>Supermarket_Sales_Case_Study[[#This Row],[Sales_Amount]]-Supermarket_Sales_Case_Study[[#This Row],[Profit]]</f>
        <v>94.366074187231007</v>
      </c>
      <c r="O80" s="2">
        <f>(Supermarket_Sales_Case_Study[[#This Row],[Sales_Amount]]-Supermarket_Sales_Case_Study[[#This Row],[Purchase]])/Supermarket_Sales_Case_Study[[#This Row],[Sales_Amount]]</f>
        <v>0.3</v>
      </c>
      <c r="P80">
        <f>Supermarket_Sales_Case_Study[[#This Row],[Quantity]]*Supermarket_Sales_Case_Study[[#This Row],[Sales_Amount]]</f>
        <v>134.80867741033001</v>
      </c>
    </row>
    <row r="81" spans="1:16" x14ac:dyDescent="0.3">
      <c r="A81" t="s">
        <v>111</v>
      </c>
      <c r="B81" t="s">
        <v>39</v>
      </c>
      <c r="C81" t="s">
        <v>30</v>
      </c>
      <c r="D81">
        <v>1182</v>
      </c>
      <c r="E81" t="s">
        <v>26</v>
      </c>
      <c r="F81" t="s">
        <v>17</v>
      </c>
      <c r="G81" t="s">
        <v>28</v>
      </c>
      <c r="H81" s="1">
        <v>45368</v>
      </c>
      <c r="I81">
        <v>211.78126852007901</v>
      </c>
      <c r="J81">
        <v>7</v>
      </c>
      <c r="K81">
        <v>1482.4688796405501</v>
      </c>
      <c r="L81">
        <v>444.740663892165</v>
      </c>
      <c r="M81" t="s">
        <v>34</v>
      </c>
      <c r="N81">
        <f>Supermarket_Sales_Case_Study[[#This Row],[Sales_Amount]]-Supermarket_Sales_Case_Study[[#This Row],[Profit]]</f>
        <v>1037.7282157483851</v>
      </c>
      <c r="O81" s="2">
        <f>(Supermarket_Sales_Case_Study[[#This Row],[Sales_Amount]]-Supermarket_Sales_Case_Study[[#This Row],[Purchase]])/Supermarket_Sales_Case_Study[[#This Row],[Sales_Amount]]</f>
        <v>0.3</v>
      </c>
      <c r="P81">
        <f>Supermarket_Sales_Case_Study[[#This Row],[Quantity]]*Supermarket_Sales_Case_Study[[#This Row],[Sales_Amount]]</f>
        <v>10377.282157483851</v>
      </c>
    </row>
    <row r="82" spans="1:16" x14ac:dyDescent="0.3">
      <c r="A82" t="s">
        <v>112</v>
      </c>
      <c r="B82" t="s">
        <v>14</v>
      </c>
      <c r="C82" t="s">
        <v>15</v>
      </c>
      <c r="D82">
        <v>1711</v>
      </c>
      <c r="E82" t="s">
        <v>26</v>
      </c>
      <c r="F82" t="s">
        <v>17</v>
      </c>
      <c r="G82" t="s">
        <v>31</v>
      </c>
      <c r="H82" s="1">
        <v>45370</v>
      </c>
      <c r="I82">
        <v>142.82644138379499</v>
      </c>
      <c r="J82">
        <v>5</v>
      </c>
      <c r="K82">
        <v>714.13220691897504</v>
      </c>
      <c r="L82">
        <v>214.239662075692</v>
      </c>
      <c r="M82" t="s">
        <v>34</v>
      </c>
      <c r="N82">
        <f>Supermarket_Sales_Case_Study[[#This Row],[Sales_Amount]]-Supermarket_Sales_Case_Study[[#This Row],[Profit]]</f>
        <v>499.89254484328308</v>
      </c>
      <c r="O82" s="2">
        <f>(Supermarket_Sales_Case_Study[[#This Row],[Sales_Amount]]-Supermarket_Sales_Case_Study[[#This Row],[Purchase]])/Supermarket_Sales_Case_Study[[#This Row],[Sales_Amount]]</f>
        <v>0.29999999999999921</v>
      </c>
      <c r="P82">
        <f>Supermarket_Sales_Case_Study[[#This Row],[Quantity]]*Supermarket_Sales_Case_Study[[#This Row],[Sales_Amount]]</f>
        <v>3570.6610345948752</v>
      </c>
    </row>
    <row r="83" spans="1:16" x14ac:dyDescent="0.3">
      <c r="A83" t="s">
        <v>113</v>
      </c>
      <c r="B83" t="s">
        <v>21</v>
      </c>
      <c r="C83" t="s">
        <v>30</v>
      </c>
      <c r="D83">
        <v>1443</v>
      </c>
      <c r="E83" t="s">
        <v>26</v>
      </c>
      <c r="F83" t="s">
        <v>22</v>
      </c>
      <c r="G83" t="s">
        <v>28</v>
      </c>
      <c r="H83" s="1">
        <v>45318</v>
      </c>
      <c r="I83">
        <v>36.707623437541599</v>
      </c>
      <c r="J83">
        <v>4</v>
      </c>
      <c r="K83">
        <v>146.830493750166</v>
      </c>
      <c r="L83">
        <v>44.049148125050003</v>
      </c>
      <c r="M83" t="s">
        <v>24</v>
      </c>
      <c r="N83">
        <f>Supermarket_Sales_Case_Study[[#This Row],[Sales_Amount]]-Supermarket_Sales_Case_Study[[#This Row],[Profit]]</f>
        <v>102.78134562511599</v>
      </c>
      <c r="O83" s="2">
        <f>(Supermarket_Sales_Case_Study[[#This Row],[Sales_Amount]]-Supermarket_Sales_Case_Study[[#This Row],[Purchase]])/Supermarket_Sales_Case_Study[[#This Row],[Sales_Amount]]</f>
        <v>0.30000000000000143</v>
      </c>
      <c r="P83">
        <f>Supermarket_Sales_Case_Study[[#This Row],[Quantity]]*Supermarket_Sales_Case_Study[[#This Row],[Sales_Amount]]</f>
        <v>587.321975000664</v>
      </c>
    </row>
    <row r="84" spans="1:16" x14ac:dyDescent="0.3">
      <c r="A84" t="s">
        <v>114</v>
      </c>
      <c r="B84" t="s">
        <v>39</v>
      </c>
      <c r="C84" t="s">
        <v>30</v>
      </c>
      <c r="D84">
        <v>1622</v>
      </c>
      <c r="E84" t="s">
        <v>16</v>
      </c>
      <c r="F84" t="s">
        <v>22</v>
      </c>
      <c r="G84" t="s">
        <v>37</v>
      </c>
      <c r="H84" s="1">
        <v>45306</v>
      </c>
      <c r="I84">
        <v>170.47991467674501</v>
      </c>
      <c r="J84">
        <v>7</v>
      </c>
      <c r="K84">
        <v>1193.3594027372101</v>
      </c>
      <c r="L84">
        <v>358.00782082116399</v>
      </c>
      <c r="M84" t="s">
        <v>19</v>
      </c>
      <c r="N84">
        <f>Supermarket_Sales_Case_Study[[#This Row],[Sales_Amount]]-Supermarket_Sales_Case_Study[[#This Row],[Profit]]</f>
        <v>835.35158191604614</v>
      </c>
      <c r="O84" s="2">
        <f>(Supermarket_Sales_Case_Study[[#This Row],[Sales_Amount]]-Supermarket_Sales_Case_Study[[#This Row],[Purchase]])/Supermarket_Sales_Case_Study[[#This Row],[Sales_Amount]]</f>
        <v>0.30000000000000077</v>
      </c>
      <c r="P84">
        <f>Supermarket_Sales_Case_Study[[#This Row],[Quantity]]*Supermarket_Sales_Case_Study[[#This Row],[Sales_Amount]]</f>
        <v>8353.5158191604714</v>
      </c>
    </row>
    <row r="85" spans="1:16" x14ac:dyDescent="0.3">
      <c r="A85" t="s">
        <v>115</v>
      </c>
      <c r="B85" t="s">
        <v>21</v>
      </c>
      <c r="C85" t="s">
        <v>36</v>
      </c>
      <c r="D85">
        <v>2029</v>
      </c>
      <c r="E85" t="s">
        <v>16</v>
      </c>
      <c r="F85" t="s">
        <v>17</v>
      </c>
      <c r="G85" t="s">
        <v>18</v>
      </c>
      <c r="H85" s="1">
        <v>45310</v>
      </c>
      <c r="I85">
        <v>196.073253559932</v>
      </c>
      <c r="J85">
        <v>2</v>
      </c>
      <c r="K85">
        <v>392.14650711986502</v>
      </c>
      <c r="L85">
        <v>117.643952135959</v>
      </c>
      <c r="M85" t="s">
        <v>24</v>
      </c>
      <c r="N85">
        <f>Supermarket_Sales_Case_Study[[#This Row],[Sales_Amount]]-Supermarket_Sales_Case_Study[[#This Row],[Profit]]</f>
        <v>274.50255498390601</v>
      </c>
      <c r="O85" s="2">
        <f>(Supermarket_Sales_Case_Study[[#This Row],[Sales_Amount]]-Supermarket_Sales_Case_Study[[#This Row],[Purchase]])/Supermarket_Sales_Case_Study[[#This Row],[Sales_Amount]]</f>
        <v>0.29999999999999871</v>
      </c>
      <c r="P85">
        <f>Supermarket_Sales_Case_Study[[#This Row],[Quantity]]*Supermarket_Sales_Case_Study[[#This Row],[Sales_Amount]]</f>
        <v>784.29301423973004</v>
      </c>
    </row>
    <row r="86" spans="1:16" x14ac:dyDescent="0.3">
      <c r="A86" t="s">
        <v>116</v>
      </c>
      <c r="B86" t="s">
        <v>21</v>
      </c>
      <c r="C86" t="s">
        <v>36</v>
      </c>
      <c r="D86">
        <v>2259</v>
      </c>
      <c r="E86" t="s">
        <v>16</v>
      </c>
      <c r="F86" t="s">
        <v>17</v>
      </c>
      <c r="G86" t="s">
        <v>37</v>
      </c>
      <c r="H86" s="1">
        <v>45381</v>
      </c>
      <c r="I86">
        <v>214.099770187247</v>
      </c>
      <c r="J86">
        <v>1</v>
      </c>
      <c r="K86">
        <v>214.099770187247</v>
      </c>
      <c r="L86">
        <v>64.229931056174095</v>
      </c>
      <c r="M86" t="s">
        <v>24</v>
      </c>
      <c r="N86">
        <f>Supermarket_Sales_Case_Study[[#This Row],[Sales_Amount]]-Supermarket_Sales_Case_Study[[#This Row],[Profit]]</f>
        <v>149.86983913107292</v>
      </c>
      <c r="O86" s="2">
        <f>(Supermarket_Sales_Case_Study[[#This Row],[Sales_Amount]]-Supermarket_Sales_Case_Study[[#This Row],[Purchase]])/Supermarket_Sales_Case_Study[[#This Row],[Sales_Amount]]</f>
        <v>0.29999999999999993</v>
      </c>
      <c r="P86">
        <f>Supermarket_Sales_Case_Study[[#This Row],[Quantity]]*Supermarket_Sales_Case_Study[[#This Row],[Sales_Amount]]</f>
        <v>214.099770187247</v>
      </c>
    </row>
    <row r="87" spans="1:16" x14ac:dyDescent="0.3">
      <c r="A87" t="s">
        <v>117</v>
      </c>
      <c r="B87" t="s">
        <v>39</v>
      </c>
      <c r="C87" t="s">
        <v>15</v>
      </c>
      <c r="D87">
        <v>2150</v>
      </c>
      <c r="E87" t="s">
        <v>16</v>
      </c>
      <c r="F87" t="s">
        <v>22</v>
      </c>
      <c r="G87" t="s">
        <v>23</v>
      </c>
      <c r="H87" s="1">
        <v>45343</v>
      </c>
      <c r="I87">
        <v>118.2453461942</v>
      </c>
      <c r="J87">
        <v>1</v>
      </c>
      <c r="K87">
        <v>118.2453461942</v>
      </c>
      <c r="L87">
        <v>35.473603858259999</v>
      </c>
      <c r="M87" t="s">
        <v>19</v>
      </c>
      <c r="N87">
        <f>Supermarket_Sales_Case_Study[[#This Row],[Sales_Amount]]-Supermarket_Sales_Case_Study[[#This Row],[Profit]]</f>
        <v>82.77174233593999</v>
      </c>
      <c r="O87" s="2">
        <f>(Supermarket_Sales_Case_Study[[#This Row],[Sales_Amount]]-Supermarket_Sales_Case_Study[[#This Row],[Purchase]])/Supermarket_Sales_Case_Study[[#This Row],[Sales_Amount]]</f>
        <v>0.30000000000000004</v>
      </c>
      <c r="P87">
        <f>Supermarket_Sales_Case_Study[[#This Row],[Quantity]]*Supermarket_Sales_Case_Study[[#This Row],[Sales_Amount]]</f>
        <v>118.2453461942</v>
      </c>
    </row>
    <row r="88" spans="1:16" x14ac:dyDescent="0.3">
      <c r="A88" t="s">
        <v>118</v>
      </c>
      <c r="B88" t="s">
        <v>14</v>
      </c>
      <c r="C88" t="s">
        <v>30</v>
      </c>
      <c r="D88">
        <v>2127</v>
      </c>
      <c r="E88" t="s">
        <v>16</v>
      </c>
      <c r="F88" t="s">
        <v>22</v>
      </c>
      <c r="G88" t="s">
        <v>23</v>
      </c>
      <c r="H88" s="1">
        <v>45317</v>
      </c>
      <c r="I88">
        <v>173.46139159834101</v>
      </c>
      <c r="J88">
        <v>1</v>
      </c>
      <c r="K88">
        <v>173.46139159834101</v>
      </c>
      <c r="L88">
        <v>52.0384174795023</v>
      </c>
      <c r="M88" t="s">
        <v>34</v>
      </c>
      <c r="N88">
        <f>Supermarket_Sales_Case_Study[[#This Row],[Sales_Amount]]-Supermarket_Sales_Case_Study[[#This Row],[Profit]]</f>
        <v>121.42297411883871</v>
      </c>
      <c r="O88" s="2">
        <f>(Supermarket_Sales_Case_Study[[#This Row],[Sales_Amount]]-Supermarket_Sales_Case_Study[[#This Row],[Purchase]])/Supermarket_Sales_Case_Study[[#This Row],[Sales_Amount]]</f>
        <v>0.3</v>
      </c>
      <c r="P88">
        <f>Supermarket_Sales_Case_Study[[#This Row],[Quantity]]*Supermarket_Sales_Case_Study[[#This Row],[Sales_Amount]]</f>
        <v>173.46139159834101</v>
      </c>
    </row>
    <row r="89" spans="1:16" x14ac:dyDescent="0.3">
      <c r="A89" t="s">
        <v>119</v>
      </c>
      <c r="B89" t="s">
        <v>21</v>
      </c>
      <c r="C89" t="s">
        <v>30</v>
      </c>
      <c r="D89">
        <v>1748</v>
      </c>
      <c r="E89" t="s">
        <v>26</v>
      </c>
      <c r="F89" t="s">
        <v>17</v>
      </c>
      <c r="G89" t="s">
        <v>18</v>
      </c>
      <c r="H89" s="1">
        <v>45380</v>
      </c>
      <c r="I89">
        <v>140.699077732284</v>
      </c>
      <c r="J89">
        <v>5</v>
      </c>
      <c r="K89">
        <v>703.49538866142302</v>
      </c>
      <c r="L89">
        <v>211.048616598427</v>
      </c>
      <c r="M89" t="s">
        <v>24</v>
      </c>
      <c r="N89">
        <f>Supermarket_Sales_Case_Study[[#This Row],[Sales_Amount]]-Supermarket_Sales_Case_Study[[#This Row],[Profit]]</f>
        <v>492.44677206299605</v>
      </c>
      <c r="O89" s="2">
        <f>(Supermarket_Sales_Case_Study[[#This Row],[Sales_Amount]]-Supermarket_Sales_Case_Study[[#This Row],[Purchase]])/Supermarket_Sales_Case_Study[[#This Row],[Sales_Amount]]</f>
        <v>0.3000000000000001</v>
      </c>
      <c r="P89">
        <f>Supermarket_Sales_Case_Study[[#This Row],[Quantity]]*Supermarket_Sales_Case_Study[[#This Row],[Sales_Amount]]</f>
        <v>3517.4769433071151</v>
      </c>
    </row>
    <row r="90" spans="1:16" x14ac:dyDescent="0.3">
      <c r="A90" t="s">
        <v>120</v>
      </c>
      <c r="B90" t="s">
        <v>39</v>
      </c>
      <c r="C90" t="s">
        <v>30</v>
      </c>
      <c r="D90">
        <v>1154</v>
      </c>
      <c r="E90" t="s">
        <v>16</v>
      </c>
      <c r="F90" t="s">
        <v>17</v>
      </c>
      <c r="G90" t="s">
        <v>33</v>
      </c>
      <c r="H90" s="1">
        <v>45317</v>
      </c>
      <c r="I90">
        <v>204.89625123815301</v>
      </c>
      <c r="J90">
        <v>7</v>
      </c>
      <c r="K90">
        <v>1434.2737586670701</v>
      </c>
      <c r="L90">
        <v>430.28212760012201</v>
      </c>
      <c r="M90" t="s">
        <v>19</v>
      </c>
      <c r="N90">
        <f>Supermarket_Sales_Case_Study[[#This Row],[Sales_Amount]]-Supermarket_Sales_Case_Study[[#This Row],[Profit]]</f>
        <v>1003.991631066948</v>
      </c>
      <c r="O90" s="2">
        <f>(Supermarket_Sales_Case_Study[[#This Row],[Sales_Amount]]-Supermarket_Sales_Case_Study[[#This Row],[Purchase]])/Supermarket_Sales_Case_Study[[#This Row],[Sales_Amount]]</f>
        <v>0.30000000000000071</v>
      </c>
      <c r="P90">
        <f>Supermarket_Sales_Case_Study[[#This Row],[Quantity]]*Supermarket_Sales_Case_Study[[#This Row],[Sales_Amount]]</f>
        <v>10039.91631066949</v>
      </c>
    </row>
    <row r="91" spans="1:16" x14ac:dyDescent="0.3">
      <c r="A91" t="s">
        <v>121</v>
      </c>
      <c r="B91" t="s">
        <v>21</v>
      </c>
      <c r="C91" t="s">
        <v>15</v>
      </c>
      <c r="D91">
        <v>1256</v>
      </c>
      <c r="E91" t="s">
        <v>16</v>
      </c>
      <c r="F91" t="s">
        <v>17</v>
      </c>
      <c r="G91" t="s">
        <v>33</v>
      </c>
      <c r="H91" s="1">
        <v>45317</v>
      </c>
      <c r="I91">
        <v>179.23152052419701</v>
      </c>
      <c r="J91">
        <v>2</v>
      </c>
      <c r="K91">
        <v>358.46304104839402</v>
      </c>
      <c r="L91">
        <v>107.538912314518</v>
      </c>
      <c r="M91" t="s">
        <v>34</v>
      </c>
      <c r="N91">
        <f>Supermarket_Sales_Case_Study[[#This Row],[Sales_Amount]]-Supermarket_Sales_Case_Study[[#This Row],[Profit]]</f>
        <v>250.92412873387602</v>
      </c>
      <c r="O91" s="2">
        <f>(Supermarket_Sales_Case_Study[[#This Row],[Sales_Amount]]-Supermarket_Sales_Case_Study[[#This Row],[Purchase]])/Supermarket_Sales_Case_Study[[#This Row],[Sales_Amount]]</f>
        <v>0.29999999999999943</v>
      </c>
      <c r="P91">
        <f>Supermarket_Sales_Case_Study[[#This Row],[Quantity]]*Supermarket_Sales_Case_Study[[#This Row],[Sales_Amount]]</f>
        <v>716.92608209678804</v>
      </c>
    </row>
    <row r="92" spans="1:16" x14ac:dyDescent="0.3">
      <c r="A92" t="s">
        <v>122</v>
      </c>
      <c r="B92" t="s">
        <v>21</v>
      </c>
      <c r="C92" t="s">
        <v>15</v>
      </c>
      <c r="D92">
        <v>1234</v>
      </c>
      <c r="E92" t="s">
        <v>16</v>
      </c>
      <c r="F92" t="s">
        <v>22</v>
      </c>
      <c r="G92" t="s">
        <v>23</v>
      </c>
      <c r="H92" s="1">
        <v>45337</v>
      </c>
      <c r="I92">
        <v>162.46930367214901</v>
      </c>
      <c r="J92">
        <v>8</v>
      </c>
      <c r="K92">
        <v>1299.75442937719</v>
      </c>
      <c r="L92">
        <v>389.926328813157</v>
      </c>
      <c r="M92" t="s">
        <v>19</v>
      </c>
      <c r="N92">
        <f>Supermarket_Sales_Case_Study[[#This Row],[Sales_Amount]]-Supermarket_Sales_Case_Study[[#This Row],[Profit]]</f>
        <v>909.82810056403309</v>
      </c>
      <c r="O92" s="2">
        <f>(Supermarket_Sales_Case_Study[[#This Row],[Sales_Amount]]-Supermarket_Sales_Case_Study[[#This Row],[Purchase]])/Supermarket_Sales_Case_Study[[#This Row],[Sales_Amount]]</f>
        <v>0.29999999999999993</v>
      </c>
      <c r="P92">
        <f>Supermarket_Sales_Case_Study[[#This Row],[Quantity]]*Supermarket_Sales_Case_Study[[#This Row],[Sales_Amount]]</f>
        <v>10398.03543501752</v>
      </c>
    </row>
    <row r="93" spans="1:16" x14ac:dyDescent="0.3">
      <c r="A93" t="s">
        <v>123</v>
      </c>
      <c r="B93" t="s">
        <v>21</v>
      </c>
      <c r="C93" t="s">
        <v>36</v>
      </c>
      <c r="D93">
        <v>1499</v>
      </c>
      <c r="E93" t="s">
        <v>16</v>
      </c>
      <c r="F93" t="s">
        <v>17</v>
      </c>
      <c r="G93" t="s">
        <v>23</v>
      </c>
      <c r="H93" s="1">
        <v>45340</v>
      </c>
      <c r="I93">
        <v>82.362066383092099</v>
      </c>
      <c r="J93">
        <v>4</v>
      </c>
      <c r="K93">
        <v>329.448265532368</v>
      </c>
      <c r="L93">
        <v>98.834479659710496</v>
      </c>
      <c r="M93" t="s">
        <v>24</v>
      </c>
      <c r="N93">
        <f>Supermarket_Sales_Case_Study[[#This Row],[Sales_Amount]]-Supermarket_Sales_Case_Study[[#This Row],[Profit]]</f>
        <v>230.6137858726575</v>
      </c>
      <c r="O93" s="2">
        <f>(Supermarket_Sales_Case_Study[[#This Row],[Sales_Amount]]-Supermarket_Sales_Case_Study[[#This Row],[Purchase]])/Supermarket_Sales_Case_Study[[#This Row],[Sales_Amount]]</f>
        <v>0.30000000000000027</v>
      </c>
      <c r="P93">
        <f>Supermarket_Sales_Case_Study[[#This Row],[Quantity]]*Supermarket_Sales_Case_Study[[#This Row],[Sales_Amount]]</f>
        <v>1317.793062129472</v>
      </c>
    </row>
    <row r="94" spans="1:16" x14ac:dyDescent="0.3">
      <c r="A94" t="s">
        <v>124</v>
      </c>
      <c r="B94" t="s">
        <v>21</v>
      </c>
      <c r="C94" t="s">
        <v>36</v>
      </c>
      <c r="D94">
        <v>1288</v>
      </c>
      <c r="E94" t="s">
        <v>16</v>
      </c>
      <c r="F94" t="s">
        <v>22</v>
      </c>
      <c r="G94" t="s">
        <v>31</v>
      </c>
      <c r="H94" s="1">
        <v>45373</v>
      </c>
      <c r="I94">
        <v>10.585370146987801</v>
      </c>
      <c r="J94">
        <v>3</v>
      </c>
      <c r="K94">
        <v>31.7561104409635</v>
      </c>
      <c r="L94">
        <v>9.5268331322890507</v>
      </c>
      <c r="M94" t="s">
        <v>34</v>
      </c>
      <c r="N94">
        <f>Supermarket_Sales_Case_Study[[#This Row],[Sales_Amount]]-Supermarket_Sales_Case_Study[[#This Row],[Profit]]</f>
        <v>22.229277308674448</v>
      </c>
      <c r="O94" s="2">
        <f>(Supermarket_Sales_Case_Study[[#This Row],[Sales_Amount]]-Supermarket_Sales_Case_Study[[#This Row],[Purchase]])/Supermarket_Sales_Case_Study[[#This Row],[Sales_Amount]]</f>
        <v>0.3000000000000001</v>
      </c>
      <c r="P94">
        <f>Supermarket_Sales_Case_Study[[#This Row],[Quantity]]*Supermarket_Sales_Case_Study[[#This Row],[Sales_Amount]]</f>
        <v>95.268331322890504</v>
      </c>
    </row>
    <row r="95" spans="1:16" x14ac:dyDescent="0.3">
      <c r="A95" t="s">
        <v>125</v>
      </c>
      <c r="B95" t="s">
        <v>14</v>
      </c>
      <c r="C95" t="s">
        <v>36</v>
      </c>
      <c r="D95">
        <v>1509</v>
      </c>
      <c r="E95" t="s">
        <v>26</v>
      </c>
      <c r="F95" t="s">
        <v>17</v>
      </c>
      <c r="G95" t="s">
        <v>33</v>
      </c>
      <c r="H95" s="1">
        <v>45344</v>
      </c>
      <c r="I95">
        <v>60.483685840314401</v>
      </c>
      <c r="J95">
        <v>8</v>
      </c>
      <c r="K95">
        <v>483.86948672251498</v>
      </c>
      <c r="L95">
        <v>145.16084601675399</v>
      </c>
      <c r="M95" t="s">
        <v>34</v>
      </c>
      <c r="N95">
        <f>Supermarket_Sales_Case_Study[[#This Row],[Sales_Amount]]-Supermarket_Sales_Case_Study[[#This Row],[Profit]]</f>
        <v>338.70864070576101</v>
      </c>
      <c r="O95" s="2">
        <f>(Supermarket_Sales_Case_Study[[#This Row],[Sales_Amount]]-Supermarket_Sales_Case_Study[[#This Row],[Purchase]])/Supermarket_Sales_Case_Study[[#This Row],[Sales_Amount]]</f>
        <v>0.29999999999999893</v>
      </c>
      <c r="P95">
        <f>Supermarket_Sales_Case_Study[[#This Row],[Quantity]]*Supermarket_Sales_Case_Study[[#This Row],[Sales_Amount]]</f>
        <v>3870.9558937801198</v>
      </c>
    </row>
    <row r="96" spans="1:16" x14ac:dyDescent="0.3">
      <c r="A96" t="s">
        <v>126</v>
      </c>
      <c r="B96" t="s">
        <v>21</v>
      </c>
      <c r="C96" t="s">
        <v>30</v>
      </c>
      <c r="D96">
        <v>1708</v>
      </c>
      <c r="E96" t="s">
        <v>26</v>
      </c>
      <c r="F96" t="s">
        <v>17</v>
      </c>
      <c r="G96" t="s">
        <v>18</v>
      </c>
      <c r="H96" s="1">
        <v>45294</v>
      </c>
      <c r="I96">
        <v>43.949152013008899</v>
      </c>
      <c r="J96">
        <v>2</v>
      </c>
      <c r="K96">
        <v>87.898304026017797</v>
      </c>
      <c r="L96">
        <v>26.3694912078053</v>
      </c>
      <c r="M96" t="s">
        <v>19</v>
      </c>
      <c r="N96">
        <f>Supermarket_Sales_Case_Study[[#This Row],[Sales_Amount]]-Supermarket_Sales_Case_Study[[#This Row],[Profit]]</f>
        <v>61.528812818212501</v>
      </c>
      <c r="O96" s="2">
        <f>(Supermarket_Sales_Case_Study[[#This Row],[Sales_Amount]]-Supermarket_Sales_Case_Study[[#This Row],[Purchase]])/Supermarket_Sales_Case_Study[[#This Row],[Sales_Amount]]</f>
        <v>0.29999999999999949</v>
      </c>
      <c r="P96">
        <f>Supermarket_Sales_Case_Study[[#This Row],[Quantity]]*Supermarket_Sales_Case_Study[[#This Row],[Sales_Amount]]</f>
        <v>175.79660805203559</v>
      </c>
    </row>
    <row r="97" spans="1:16" x14ac:dyDescent="0.3">
      <c r="A97" t="s">
        <v>127</v>
      </c>
      <c r="B97" t="s">
        <v>21</v>
      </c>
      <c r="C97" t="s">
        <v>30</v>
      </c>
      <c r="D97">
        <v>1784</v>
      </c>
      <c r="E97" t="s">
        <v>26</v>
      </c>
      <c r="F97" t="s">
        <v>17</v>
      </c>
      <c r="G97" t="s">
        <v>33</v>
      </c>
      <c r="H97" s="1">
        <v>45357</v>
      </c>
      <c r="I97">
        <v>140.23457605317401</v>
      </c>
      <c r="J97">
        <v>3</v>
      </c>
      <c r="K97">
        <v>420.703728159523</v>
      </c>
      <c r="L97">
        <v>126.211118447857</v>
      </c>
      <c r="M97" t="s">
        <v>34</v>
      </c>
      <c r="N97">
        <f>Supermarket_Sales_Case_Study[[#This Row],[Sales_Amount]]-Supermarket_Sales_Case_Study[[#This Row],[Profit]]</f>
        <v>294.49260971166598</v>
      </c>
      <c r="O97" s="2">
        <f>(Supermarket_Sales_Case_Study[[#This Row],[Sales_Amount]]-Supermarket_Sales_Case_Study[[#This Row],[Purchase]])/Supermarket_Sales_Case_Study[[#This Row],[Sales_Amount]]</f>
        <v>0.30000000000000027</v>
      </c>
      <c r="P97">
        <f>Supermarket_Sales_Case_Study[[#This Row],[Quantity]]*Supermarket_Sales_Case_Study[[#This Row],[Sales_Amount]]</f>
        <v>1262.1111844785689</v>
      </c>
    </row>
    <row r="98" spans="1:16" x14ac:dyDescent="0.3">
      <c r="A98" t="s">
        <v>128</v>
      </c>
      <c r="B98" t="s">
        <v>21</v>
      </c>
      <c r="C98" t="s">
        <v>36</v>
      </c>
      <c r="D98">
        <v>1893</v>
      </c>
      <c r="E98" t="s">
        <v>16</v>
      </c>
      <c r="F98" t="s">
        <v>17</v>
      </c>
      <c r="G98" t="s">
        <v>31</v>
      </c>
      <c r="H98" s="1">
        <v>45333</v>
      </c>
      <c r="I98">
        <v>187.55486372093401</v>
      </c>
      <c r="J98">
        <v>3</v>
      </c>
      <c r="K98">
        <v>562.66459116280396</v>
      </c>
      <c r="L98">
        <v>168.79937734884101</v>
      </c>
      <c r="M98" t="s">
        <v>24</v>
      </c>
      <c r="N98">
        <f>Supermarket_Sales_Case_Study[[#This Row],[Sales_Amount]]-Supermarket_Sales_Case_Study[[#This Row],[Profit]]</f>
        <v>393.86521381396295</v>
      </c>
      <c r="O98" s="2">
        <f>(Supermarket_Sales_Case_Study[[#This Row],[Sales_Amount]]-Supermarket_Sales_Case_Study[[#This Row],[Purchase]])/Supermarket_Sales_Case_Study[[#This Row],[Sales_Amount]]</f>
        <v>0.29999999999999966</v>
      </c>
      <c r="P98">
        <f>Supermarket_Sales_Case_Study[[#This Row],[Quantity]]*Supermarket_Sales_Case_Study[[#This Row],[Sales_Amount]]</f>
        <v>1687.993773488412</v>
      </c>
    </row>
    <row r="99" spans="1:16" x14ac:dyDescent="0.3">
      <c r="A99" t="s">
        <v>129</v>
      </c>
      <c r="B99" t="s">
        <v>14</v>
      </c>
      <c r="C99" t="s">
        <v>30</v>
      </c>
      <c r="D99">
        <v>1775</v>
      </c>
      <c r="E99" t="s">
        <v>26</v>
      </c>
      <c r="F99" t="s">
        <v>22</v>
      </c>
      <c r="G99" t="s">
        <v>37</v>
      </c>
      <c r="H99" s="1">
        <v>45310</v>
      </c>
      <c r="I99">
        <v>71.794652518594305</v>
      </c>
      <c r="J99">
        <v>1</v>
      </c>
      <c r="K99">
        <v>71.794652518594305</v>
      </c>
      <c r="L99">
        <v>21.5383957555783</v>
      </c>
      <c r="M99" t="s">
        <v>24</v>
      </c>
      <c r="N99">
        <f>Supermarket_Sales_Case_Study[[#This Row],[Sales_Amount]]-Supermarket_Sales_Case_Study[[#This Row],[Profit]]</f>
        <v>50.256256763016005</v>
      </c>
      <c r="O99" s="2">
        <f>(Supermarket_Sales_Case_Study[[#This Row],[Sales_Amount]]-Supermarket_Sales_Case_Study[[#This Row],[Purchase]])/Supermarket_Sales_Case_Study[[#This Row],[Sales_Amount]]</f>
        <v>0.3000000000000001</v>
      </c>
      <c r="P99">
        <f>Supermarket_Sales_Case_Study[[#This Row],[Quantity]]*Supermarket_Sales_Case_Study[[#This Row],[Sales_Amount]]</f>
        <v>71.794652518594305</v>
      </c>
    </row>
    <row r="100" spans="1:16" x14ac:dyDescent="0.3">
      <c r="A100" t="s">
        <v>130</v>
      </c>
      <c r="B100" t="s">
        <v>21</v>
      </c>
      <c r="C100" t="s">
        <v>36</v>
      </c>
      <c r="D100">
        <v>1297</v>
      </c>
      <c r="E100" t="s">
        <v>26</v>
      </c>
      <c r="F100" t="s">
        <v>22</v>
      </c>
      <c r="G100" t="s">
        <v>23</v>
      </c>
      <c r="H100" s="1">
        <v>45308</v>
      </c>
      <c r="I100">
        <v>282.32655783048398</v>
      </c>
      <c r="J100">
        <v>6</v>
      </c>
      <c r="K100">
        <v>1693.9593469828999</v>
      </c>
      <c r="L100">
        <v>508.18780409487101</v>
      </c>
      <c r="M100" t="s">
        <v>24</v>
      </c>
      <c r="N100">
        <f>Supermarket_Sales_Case_Study[[#This Row],[Sales_Amount]]-Supermarket_Sales_Case_Study[[#This Row],[Profit]]</f>
        <v>1185.7715428880288</v>
      </c>
      <c r="O100" s="2">
        <f>(Supermarket_Sales_Case_Study[[#This Row],[Sales_Amount]]-Supermarket_Sales_Case_Study[[#This Row],[Purchase]])/Supermarket_Sales_Case_Study[[#This Row],[Sales_Amount]]</f>
        <v>0.30000000000000071</v>
      </c>
      <c r="P100">
        <f>Supermarket_Sales_Case_Study[[#This Row],[Quantity]]*Supermarket_Sales_Case_Study[[#This Row],[Sales_Amount]]</f>
        <v>10163.7560818974</v>
      </c>
    </row>
    <row r="101" spans="1:16" x14ac:dyDescent="0.3">
      <c r="A101" t="s">
        <v>131</v>
      </c>
      <c r="B101" t="s">
        <v>21</v>
      </c>
      <c r="C101" t="s">
        <v>15</v>
      </c>
      <c r="D101">
        <v>1136</v>
      </c>
      <c r="E101" t="s">
        <v>16</v>
      </c>
      <c r="F101" t="s">
        <v>17</v>
      </c>
      <c r="G101" t="s">
        <v>23</v>
      </c>
      <c r="H101" s="1">
        <v>45324</v>
      </c>
      <c r="I101">
        <v>11.9378174749274</v>
      </c>
      <c r="J101">
        <v>2</v>
      </c>
      <c r="K101">
        <v>23.875634949854899</v>
      </c>
      <c r="L101">
        <v>7.1626904849564701</v>
      </c>
      <c r="M101" t="s">
        <v>19</v>
      </c>
      <c r="N101">
        <f>Supermarket_Sales_Case_Study[[#This Row],[Sales_Amount]]-Supermarket_Sales_Case_Study[[#This Row],[Profit]]</f>
        <v>16.712944464898428</v>
      </c>
      <c r="O101" s="2">
        <f>(Supermarket_Sales_Case_Study[[#This Row],[Sales_Amount]]-Supermarket_Sales_Case_Study[[#This Row],[Purchase]])/Supermarket_Sales_Case_Study[[#This Row],[Sales_Amount]]</f>
        <v>0.30000000000000004</v>
      </c>
      <c r="P101">
        <f>Supermarket_Sales_Case_Study[[#This Row],[Quantity]]*Supermarket_Sales_Case_Study[[#This Row],[Sales_Amount]]</f>
        <v>47.751269899709797</v>
      </c>
    </row>
    <row r="102" spans="1:16" x14ac:dyDescent="0.3">
      <c r="A102" t="s">
        <v>132</v>
      </c>
      <c r="B102" t="s">
        <v>14</v>
      </c>
      <c r="C102" t="s">
        <v>36</v>
      </c>
      <c r="D102">
        <v>1375</v>
      </c>
      <c r="E102" t="s">
        <v>16</v>
      </c>
      <c r="F102" t="s">
        <v>22</v>
      </c>
      <c r="G102" t="s">
        <v>31</v>
      </c>
      <c r="H102" s="1">
        <v>45367</v>
      </c>
      <c r="I102">
        <v>233.96729439794899</v>
      </c>
      <c r="J102">
        <v>1</v>
      </c>
      <c r="K102">
        <v>233.96729439794899</v>
      </c>
      <c r="L102">
        <v>70.190188319384802</v>
      </c>
      <c r="M102" t="s">
        <v>34</v>
      </c>
      <c r="N102">
        <f>Supermarket_Sales_Case_Study[[#This Row],[Sales_Amount]]-Supermarket_Sales_Case_Study[[#This Row],[Profit]]</f>
        <v>163.7771060785642</v>
      </c>
      <c r="O102" s="2">
        <f>(Supermarket_Sales_Case_Study[[#This Row],[Sales_Amount]]-Supermarket_Sales_Case_Study[[#This Row],[Purchase]])/Supermarket_Sales_Case_Study[[#This Row],[Sales_Amount]]</f>
        <v>0.30000000000000038</v>
      </c>
      <c r="P102">
        <f>Supermarket_Sales_Case_Study[[#This Row],[Quantity]]*Supermarket_Sales_Case_Study[[#This Row],[Sales_Amount]]</f>
        <v>233.96729439794899</v>
      </c>
    </row>
    <row r="103" spans="1:16" x14ac:dyDescent="0.3">
      <c r="A103" t="s">
        <v>133</v>
      </c>
      <c r="B103" t="s">
        <v>14</v>
      </c>
      <c r="C103" t="s">
        <v>15</v>
      </c>
      <c r="D103">
        <v>1086</v>
      </c>
      <c r="E103" t="s">
        <v>16</v>
      </c>
      <c r="F103" t="s">
        <v>17</v>
      </c>
      <c r="G103" t="s">
        <v>18</v>
      </c>
      <c r="H103" s="1">
        <v>45340</v>
      </c>
      <c r="I103">
        <v>191.30938316382799</v>
      </c>
      <c r="J103">
        <v>2</v>
      </c>
      <c r="K103">
        <v>382.61876632765598</v>
      </c>
      <c r="L103">
        <v>114.78562989829599</v>
      </c>
      <c r="M103" t="s">
        <v>34</v>
      </c>
      <c r="N103">
        <f>Supermarket_Sales_Case_Study[[#This Row],[Sales_Amount]]-Supermarket_Sales_Case_Study[[#This Row],[Profit]]</f>
        <v>267.83313642935997</v>
      </c>
      <c r="O103" s="2">
        <f>(Supermarket_Sales_Case_Study[[#This Row],[Sales_Amount]]-Supermarket_Sales_Case_Study[[#This Row],[Purchase]])/Supermarket_Sales_Case_Study[[#This Row],[Sales_Amount]]</f>
        <v>0.29999999999999793</v>
      </c>
      <c r="P103">
        <f>Supermarket_Sales_Case_Study[[#This Row],[Quantity]]*Supermarket_Sales_Case_Study[[#This Row],[Sales_Amount]]</f>
        <v>765.23753265531195</v>
      </c>
    </row>
    <row r="104" spans="1:16" x14ac:dyDescent="0.3">
      <c r="A104" t="s">
        <v>134</v>
      </c>
      <c r="B104" t="s">
        <v>14</v>
      </c>
      <c r="C104" t="s">
        <v>30</v>
      </c>
      <c r="D104">
        <v>2442</v>
      </c>
      <c r="E104" t="s">
        <v>26</v>
      </c>
      <c r="F104" t="s">
        <v>17</v>
      </c>
      <c r="G104" t="s">
        <v>23</v>
      </c>
      <c r="H104" s="1">
        <v>45347</v>
      </c>
      <c r="I104">
        <v>118.330892303827</v>
      </c>
      <c r="J104">
        <v>6</v>
      </c>
      <c r="K104">
        <v>709.98535382296598</v>
      </c>
      <c r="L104">
        <v>212.995606146889</v>
      </c>
      <c r="M104" t="s">
        <v>34</v>
      </c>
      <c r="N104">
        <f>Supermarket_Sales_Case_Study[[#This Row],[Sales_Amount]]-Supermarket_Sales_Case_Study[[#This Row],[Profit]]</f>
        <v>496.98974767607695</v>
      </c>
      <c r="O104" s="2">
        <f>(Supermarket_Sales_Case_Study[[#This Row],[Sales_Amount]]-Supermarket_Sales_Case_Study[[#This Row],[Purchase]])/Supermarket_Sales_Case_Study[[#This Row],[Sales_Amount]]</f>
        <v>0.29999999999999893</v>
      </c>
      <c r="P104">
        <f>Supermarket_Sales_Case_Study[[#This Row],[Quantity]]*Supermarket_Sales_Case_Study[[#This Row],[Sales_Amount]]</f>
        <v>4259.9121229377961</v>
      </c>
    </row>
    <row r="105" spans="1:16" x14ac:dyDescent="0.3">
      <c r="A105" t="s">
        <v>135</v>
      </c>
      <c r="B105" t="s">
        <v>21</v>
      </c>
      <c r="C105" t="s">
        <v>36</v>
      </c>
      <c r="D105">
        <v>2222</v>
      </c>
      <c r="E105" t="s">
        <v>26</v>
      </c>
      <c r="F105" t="s">
        <v>17</v>
      </c>
      <c r="G105" t="s">
        <v>28</v>
      </c>
      <c r="H105" s="1">
        <v>45354</v>
      </c>
      <c r="I105">
        <v>24.6417938795982</v>
      </c>
      <c r="J105">
        <v>4</v>
      </c>
      <c r="K105">
        <v>98.5671755183931</v>
      </c>
      <c r="L105">
        <v>29.570152655517902</v>
      </c>
      <c r="M105" t="s">
        <v>24</v>
      </c>
      <c r="N105">
        <f>Supermarket_Sales_Case_Study[[#This Row],[Sales_Amount]]-Supermarket_Sales_Case_Study[[#This Row],[Profit]]</f>
        <v>68.997022862875198</v>
      </c>
      <c r="O105" s="2">
        <f>(Supermarket_Sales_Case_Study[[#This Row],[Sales_Amount]]-Supermarket_Sales_Case_Study[[#This Row],[Purchase]])/Supermarket_Sales_Case_Study[[#This Row],[Sales_Amount]]</f>
        <v>0.29999999999999971</v>
      </c>
      <c r="P105">
        <f>Supermarket_Sales_Case_Study[[#This Row],[Quantity]]*Supermarket_Sales_Case_Study[[#This Row],[Sales_Amount]]</f>
        <v>394.2687020735724</v>
      </c>
    </row>
    <row r="106" spans="1:16" x14ac:dyDescent="0.3">
      <c r="A106" t="s">
        <v>136</v>
      </c>
      <c r="B106" t="s">
        <v>14</v>
      </c>
      <c r="C106" t="s">
        <v>30</v>
      </c>
      <c r="D106">
        <v>2486</v>
      </c>
      <c r="E106" t="s">
        <v>16</v>
      </c>
      <c r="F106" t="s">
        <v>17</v>
      </c>
      <c r="G106" t="s">
        <v>23</v>
      </c>
      <c r="H106" s="1">
        <v>45294</v>
      </c>
      <c r="I106">
        <v>191.97110581744101</v>
      </c>
      <c r="J106">
        <v>6</v>
      </c>
      <c r="K106">
        <v>1151.8266349046401</v>
      </c>
      <c r="L106">
        <v>345.54799047139301</v>
      </c>
      <c r="M106" t="s">
        <v>34</v>
      </c>
      <c r="N106">
        <f>Supermarket_Sales_Case_Study[[#This Row],[Sales_Amount]]-Supermarket_Sales_Case_Study[[#This Row],[Profit]]</f>
        <v>806.27864443324711</v>
      </c>
      <c r="O106" s="2">
        <f>(Supermarket_Sales_Case_Study[[#This Row],[Sales_Amount]]-Supermarket_Sales_Case_Study[[#This Row],[Purchase]])/Supermarket_Sales_Case_Study[[#This Row],[Sales_Amount]]</f>
        <v>0.30000000000000082</v>
      </c>
      <c r="P106">
        <f>Supermarket_Sales_Case_Study[[#This Row],[Quantity]]*Supermarket_Sales_Case_Study[[#This Row],[Sales_Amount]]</f>
        <v>6910.9598094278408</v>
      </c>
    </row>
    <row r="107" spans="1:16" x14ac:dyDescent="0.3">
      <c r="A107" t="s">
        <v>137</v>
      </c>
      <c r="B107" t="s">
        <v>14</v>
      </c>
      <c r="C107" t="s">
        <v>15</v>
      </c>
      <c r="D107">
        <v>1436</v>
      </c>
      <c r="E107" t="s">
        <v>16</v>
      </c>
      <c r="F107" t="s">
        <v>22</v>
      </c>
      <c r="G107" t="s">
        <v>28</v>
      </c>
      <c r="H107" s="1">
        <v>45340</v>
      </c>
      <c r="I107">
        <v>121.827918731037</v>
      </c>
      <c r="J107">
        <v>9</v>
      </c>
      <c r="K107">
        <v>1096.45126857934</v>
      </c>
      <c r="L107">
        <v>328.93538057380198</v>
      </c>
      <c r="M107" t="s">
        <v>24</v>
      </c>
      <c r="N107">
        <f>Supermarket_Sales_Case_Study[[#This Row],[Sales_Amount]]-Supermarket_Sales_Case_Study[[#This Row],[Profit]]</f>
        <v>767.51588800553805</v>
      </c>
      <c r="O107" s="2">
        <f>(Supermarket_Sales_Case_Study[[#This Row],[Sales_Amount]]-Supermarket_Sales_Case_Study[[#This Row],[Purchase]])/Supermarket_Sales_Case_Study[[#This Row],[Sales_Amount]]</f>
        <v>0.29999999999999993</v>
      </c>
      <c r="P107">
        <f>Supermarket_Sales_Case_Study[[#This Row],[Quantity]]*Supermarket_Sales_Case_Study[[#This Row],[Sales_Amount]]</f>
        <v>9868.0614172140595</v>
      </c>
    </row>
    <row r="108" spans="1:16" x14ac:dyDescent="0.3">
      <c r="A108" t="s">
        <v>138</v>
      </c>
      <c r="B108" t="s">
        <v>21</v>
      </c>
      <c r="C108" t="s">
        <v>15</v>
      </c>
      <c r="D108">
        <v>2333</v>
      </c>
      <c r="E108" t="s">
        <v>26</v>
      </c>
      <c r="F108" t="s">
        <v>17</v>
      </c>
      <c r="G108" t="s">
        <v>31</v>
      </c>
      <c r="H108" s="1">
        <v>45346</v>
      </c>
      <c r="I108">
        <v>281.517470429833</v>
      </c>
      <c r="J108">
        <v>8</v>
      </c>
      <c r="K108">
        <v>2252.1397634386599</v>
      </c>
      <c r="L108">
        <v>675.64192903159994</v>
      </c>
      <c r="M108" t="s">
        <v>34</v>
      </c>
      <c r="N108">
        <f>Supermarket_Sales_Case_Study[[#This Row],[Sales_Amount]]-Supermarket_Sales_Case_Study[[#This Row],[Profit]]</f>
        <v>1576.4978344070601</v>
      </c>
      <c r="O108" s="2">
        <f>(Supermarket_Sales_Case_Study[[#This Row],[Sales_Amount]]-Supermarket_Sales_Case_Study[[#This Row],[Purchase]])/Supermarket_Sales_Case_Study[[#This Row],[Sales_Amount]]</f>
        <v>0.30000000000000082</v>
      </c>
      <c r="P108">
        <f>Supermarket_Sales_Case_Study[[#This Row],[Quantity]]*Supermarket_Sales_Case_Study[[#This Row],[Sales_Amount]]</f>
        <v>18017.118107509279</v>
      </c>
    </row>
    <row r="109" spans="1:16" x14ac:dyDescent="0.3">
      <c r="A109" t="s">
        <v>139</v>
      </c>
      <c r="B109" t="s">
        <v>14</v>
      </c>
      <c r="C109" t="s">
        <v>15</v>
      </c>
      <c r="D109">
        <v>2304</v>
      </c>
      <c r="E109" t="s">
        <v>26</v>
      </c>
      <c r="F109" t="s">
        <v>17</v>
      </c>
      <c r="G109" t="s">
        <v>31</v>
      </c>
      <c r="H109" s="1">
        <v>45317</v>
      </c>
      <c r="I109">
        <v>167.177121718032</v>
      </c>
      <c r="J109">
        <v>1</v>
      </c>
      <c r="K109">
        <v>167.177121718032</v>
      </c>
      <c r="L109">
        <v>50.153136515409599</v>
      </c>
      <c r="M109" t="s">
        <v>24</v>
      </c>
      <c r="N109">
        <f>Supermarket_Sales_Case_Study[[#This Row],[Sales_Amount]]-Supermarket_Sales_Case_Study[[#This Row],[Profit]]</f>
        <v>117.0239852026224</v>
      </c>
      <c r="O109" s="2">
        <f>(Supermarket_Sales_Case_Study[[#This Row],[Sales_Amount]]-Supermarket_Sales_Case_Study[[#This Row],[Purchase]])/Supermarket_Sales_Case_Study[[#This Row],[Sales_Amount]]</f>
        <v>0.3</v>
      </c>
      <c r="P109">
        <f>Supermarket_Sales_Case_Study[[#This Row],[Quantity]]*Supermarket_Sales_Case_Study[[#This Row],[Sales_Amount]]</f>
        <v>167.177121718032</v>
      </c>
    </row>
    <row r="110" spans="1:16" x14ac:dyDescent="0.3">
      <c r="A110" t="s">
        <v>140</v>
      </c>
      <c r="B110" t="s">
        <v>21</v>
      </c>
      <c r="C110" t="s">
        <v>30</v>
      </c>
      <c r="D110">
        <v>2346</v>
      </c>
      <c r="E110" t="s">
        <v>16</v>
      </c>
      <c r="F110" t="s">
        <v>22</v>
      </c>
      <c r="G110" t="s">
        <v>23</v>
      </c>
      <c r="H110" s="1">
        <v>45363</v>
      </c>
      <c r="I110">
        <v>282.49893827511698</v>
      </c>
      <c r="J110">
        <v>8</v>
      </c>
      <c r="K110">
        <v>2259.99150620093</v>
      </c>
      <c r="L110">
        <v>677.99745186028099</v>
      </c>
      <c r="M110" t="s">
        <v>34</v>
      </c>
      <c r="N110">
        <f>Supermarket_Sales_Case_Study[[#This Row],[Sales_Amount]]-Supermarket_Sales_Case_Study[[#This Row],[Profit]]</f>
        <v>1581.994054340649</v>
      </c>
      <c r="O110" s="2">
        <f>(Supermarket_Sales_Case_Study[[#This Row],[Sales_Amount]]-Supermarket_Sales_Case_Study[[#This Row],[Purchase]])/Supermarket_Sales_Case_Study[[#This Row],[Sales_Amount]]</f>
        <v>0.30000000000000088</v>
      </c>
      <c r="P110">
        <f>Supermarket_Sales_Case_Study[[#This Row],[Quantity]]*Supermarket_Sales_Case_Study[[#This Row],[Sales_Amount]]</f>
        <v>18079.93204960744</v>
      </c>
    </row>
    <row r="111" spans="1:16" x14ac:dyDescent="0.3">
      <c r="A111" t="s">
        <v>141</v>
      </c>
      <c r="B111" t="s">
        <v>39</v>
      </c>
      <c r="C111" t="s">
        <v>30</v>
      </c>
      <c r="D111">
        <v>1763</v>
      </c>
      <c r="E111" t="s">
        <v>16</v>
      </c>
      <c r="F111" t="s">
        <v>17</v>
      </c>
      <c r="G111" t="s">
        <v>33</v>
      </c>
      <c r="H111" s="1">
        <v>45343</v>
      </c>
      <c r="I111">
        <v>73.940271107258098</v>
      </c>
      <c r="J111">
        <v>9</v>
      </c>
      <c r="K111">
        <v>665.46243996532303</v>
      </c>
      <c r="L111">
        <v>199.63873198959701</v>
      </c>
      <c r="M111" t="s">
        <v>19</v>
      </c>
      <c r="N111">
        <f>Supermarket_Sales_Case_Study[[#This Row],[Sales_Amount]]-Supermarket_Sales_Case_Study[[#This Row],[Profit]]</f>
        <v>465.82370797572605</v>
      </c>
      <c r="O111" s="2">
        <f>(Supermarket_Sales_Case_Study[[#This Row],[Sales_Amount]]-Supermarket_Sales_Case_Study[[#This Row],[Purchase]])/Supermarket_Sales_Case_Study[[#This Row],[Sales_Amount]]</f>
        <v>0.3000000000000001</v>
      </c>
      <c r="P111">
        <f>Supermarket_Sales_Case_Study[[#This Row],[Quantity]]*Supermarket_Sales_Case_Study[[#This Row],[Sales_Amount]]</f>
        <v>5989.1619596879073</v>
      </c>
    </row>
    <row r="112" spans="1:16" x14ac:dyDescent="0.3">
      <c r="A112" t="s">
        <v>142</v>
      </c>
      <c r="B112" t="s">
        <v>14</v>
      </c>
      <c r="C112" t="s">
        <v>30</v>
      </c>
      <c r="D112">
        <v>1701</v>
      </c>
      <c r="E112" t="s">
        <v>26</v>
      </c>
      <c r="F112" t="s">
        <v>17</v>
      </c>
      <c r="G112" t="s">
        <v>28</v>
      </c>
      <c r="H112" s="1">
        <v>45298</v>
      </c>
      <c r="I112">
        <v>220.460514005589</v>
      </c>
      <c r="J112">
        <v>6</v>
      </c>
      <c r="K112">
        <v>1322.76308403353</v>
      </c>
      <c r="L112">
        <v>396.82892521006102</v>
      </c>
      <c r="M112" t="s">
        <v>19</v>
      </c>
      <c r="N112">
        <f>Supermarket_Sales_Case_Study[[#This Row],[Sales_Amount]]-Supermarket_Sales_Case_Study[[#This Row],[Profit]]</f>
        <v>925.93415882346903</v>
      </c>
      <c r="O112" s="2">
        <f>(Supermarket_Sales_Case_Study[[#This Row],[Sales_Amount]]-Supermarket_Sales_Case_Study[[#This Row],[Purchase]])/Supermarket_Sales_Case_Study[[#This Row],[Sales_Amount]]</f>
        <v>0.30000000000000149</v>
      </c>
      <c r="P112">
        <f>Supermarket_Sales_Case_Study[[#This Row],[Quantity]]*Supermarket_Sales_Case_Study[[#This Row],[Sales_Amount]]</f>
        <v>7936.5785042011803</v>
      </c>
    </row>
    <row r="113" spans="1:16" x14ac:dyDescent="0.3">
      <c r="A113" t="s">
        <v>143</v>
      </c>
      <c r="B113" t="s">
        <v>39</v>
      </c>
      <c r="C113" t="s">
        <v>30</v>
      </c>
      <c r="D113">
        <v>1941</v>
      </c>
      <c r="E113" t="s">
        <v>16</v>
      </c>
      <c r="F113" t="s">
        <v>17</v>
      </c>
      <c r="G113" t="s">
        <v>18</v>
      </c>
      <c r="H113" s="1">
        <v>45337</v>
      </c>
      <c r="I113">
        <v>189.00221604613</v>
      </c>
      <c r="J113">
        <v>5</v>
      </c>
      <c r="K113">
        <v>945.01108023065206</v>
      </c>
      <c r="L113">
        <v>283.503324069195</v>
      </c>
      <c r="M113" t="s">
        <v>24</v>
      </c>
      <c r="N113">
        <f>Supermarket_Sales_Case_Study[[#This Row],[Sales_Amount]]-Supermarket_Sales_Case_Study[[#This Row],[Profit]]</f>
        <v>661.50775616145711</v>
      </c>
      <c r="O113" s="2">
        <f>(Supermarket_Sales_Case_Study[[#This Row],[Sales_Amount]]-Supermarket_Sales_Case_Study[[#This Row],[Purchase]])/Supermarket_Sales_Case_Study[[#This Row],[Sales_Amount]]</f>
        <v>0.29999999999999927</v>
      </c>
      <c r="P113">
        <f>Supermarket_Sales_Case_Study[[#This Row],[Quantity]]*Supermarket_Sales_Case_Study[[#This Row],[Sales_Amount]]</f>
        <v>4725.0554011532604</v>
      </c>
    </row>
    <row r="114" spans="1:16" x14ac:dyDescent="0.3">
      <c r="A114" t="s">
        <v>144</v>
      </c>
      <c r="B114" t="s">
        <v>21</v>
      </c>
      <c r="C114" t="s">
        <v>15</v>
      </c>
      <c r="D114">
        <v>1151</v>
      </c>
      <c r="E114" t="s">
        <v>26</v>
      </c>
      <c r="F114" t="s">
        <v>22</v>
      </c>
      <c r="G114" t="s">
        <v>23</v>
      </c>
      <c r="H114" s="1">
        <v>45337</v>
      </c>
      <c r="I114">
        <v>224.42838665107999</v>
      </c>
      <c r="J114">
        <v>6</v>
      </c>
      <c r="K114">
        <v>1346.5703199064801</v>
      </c>
      <c r="L114">
        <v>403.97109597194401</v>
      </c>
      <c r="M114" t="s">
        <v>24</v>
      </c>
      <c r="N114">
        <f>Supermarket_Sales_Case_Study[[#This Row],[Sales_Amount]]-Supermarket_Sales_Case_Study[[#This Row],[Profit]]</f>
        <v>942.5992239345361</v>
      </c>
      <c r="O114" s="2">
        <f>(Supermarket_Sales_Case_Study[[#This Row],[Sales_Amount]]-Supermarket_Sales_Case_Study[[#This Row],[Purchase]])/Supermarket_Sales_Case_Study[[#This Row],[Sales_Amount]]</f>
        <v>0.3</v>
      </c>
      <c r="P114">
        <f>Supermarket_Sales_Case_Study[[#This Row],[Quantity]]*Supermarket_Sales_Case_Study[[#This Row],[Sales_Amount]]</f>
        <v>8079.4219194388806</v>
      </c>
    </row>
    <row r="115" spans="1:16" x14ac:dyDescent="0.3">
      <c r="A115" t="s">
        <v>145</v>
      </c>
      <c r="B115" t="s">
        <v>14</v>
      </c>
      <c r="C115" t="s">
        <v>15</v>
      </c>
      <c r="D115">
        <v>2325</v>
      </c>
      <c r="E115" t="s">
        <v>26</v>
      </c>
      <c r="F115" t="s">
        <v>17</v>
      </c>
      <c r="G115" t="s">
        <v>18</v>
      </c>
      <c r="H115" s="1">
        <v>45307</v>
      </c>
      <c r="I115">
        <v>72.253680552035604</v>
      </c>
      <c r="J115">
        <v>6</v>
      </c>
      <c r="K115">
        <v>433.522083312213</v>
      </c>
      <c r="L115">
        <v>130.056624993664</v>
      </c>
      <c r="M115" t="s">
        <v>34</v>
      </c>
      <c r="N115">
        <f>Supermarket_Sales_Case_Study[[#This Row],[Sales_Amount]]-Supermarket_Sales_Case_Study[[#This Row],[Profit]]</f>
        <v>303.465458318549</v>
      </c>
      <c r="O115" s="2">
        <f>(Supermarket_Sales_Case_Study[[#This Row],[Sales_Amount]]-Supermarket_Sales_Case_Study[[#This Row],[Purchase]])/Supermarket_Sales_Case_Study[[#This Row],[Sales_Amount]]</f>
        <v>0.30000000000000021</v>
      </c>
      <c r="P115">
        <f>Supermarket_Sales_Case_Study[[#This Row],[Quantity]]*Supermarket_Sales_Case_Study[[#This Row],[Sales_Amount]]</f>
        <v>2601.132499873278</v>
      </c>
    </row>
    <row r="116" spans="1:16" x14ac:dyDescent="0.3">
      <c r="A116" t="s">
        <v>146</v>
      </c>
      <c r="B116" t="s">
        <v>21</v>
      </c>
      <c r="C116" t="s">
        <v>36</v>
      </c>
      <c r="D116">
        <v>2301</v>
      </c>
      <c r="E116" t="s">
        <v>26</v>
      </c>
      <c r="F116" t="s">
        <v>22</v>
      </c>
      <c r="G116" t="s">
        <v>23</v>
      </c>
      <c r="H116" s="1">
        <v>45315</v>
      </c>
      <c r="I116">
        <v>202.84840970895399</v>
      </c>
      <c r="J116">
        <v>9</v>
      </c>
      <c r="K116">
        <v>1825.6356873805801</v>
      </c>
      <c r="L116">
        <v>547.69070621417598</v>
      </c>
      <c r="M116" t="s">
        <v>34</v>
      </c>
      <c r="N116">
        <f>Supermarket_Sales_Case_Study[[#This Row],[Sales_Amount]]-Supermarket_Sales_Case_Study[[#This Row],[Profit]]</f>
        <v>1277.944981166404</v>
      </c>
      <c r="O116" s="2">
        <f>(Supermarket_Sales_Case_Study[[#This Row],[Sales_Amount]]-Supermarket_Sales_Case_Study[[#This Row],[Purchase]])/Supermarket_Sales_Case_Study[[#This Row],[Sales_Amount]]</f>
        <v>0.30000000000000115</v>
      </c>
      <c r="P116">
        <f>Supermarket_Sales_Case_Study[[#This Row],[Quantity]]*Supermarket_Sales_Case_Study[[#This Row],[Sales_Amount]]</f>
        <v>16430.72118642522</v>
      </c>
    </row>
    <row r="117" spans="1:16" x14ac:dyDescent="0.3">
      <c r="A117" t="s">
        <v>147</v>
      </c>
      <c r="B117" t="s">
        <v>39</v>
      </c>
      <c r="C117" t="s">
        <v>36</v>
      </c>
      <c r="D117">
        <v>2031</v>
      </c>
      <c r="E117" t="s">
        <v>26</v>
      </c>
      <c r="F117" t="s">
        <v>17</v>
      </c>
      <c r="G117" t="s">
        <v>33</v>
      </c>
      <c r="H117" s="1">
        <v>45352</v>
      </c>
      <c r="I117">
        <v>154.43171398649201</v>
      </c>
      <c r="J117">
        <v>4</v>
      </c>
      <c r="K117">
        <v>617.72685594596805</v>
      </c>
      <c r="L117">
        <v>185.31805678379001</v>
      </c>
      <c r="M117" t="s">
        <v>19</v>
      </c>
      <c r="N117">
        <f>Supermarket_Sales_Case_Study[[#This Row],[Sales_Amount]]-Supermarket_Sales_Case_Study[[#This Row],[Profit]]</f>
        <v>432.40879916217807</v>
      </c>
      <c r="O117" s="2">
        <f>(Supermarket_Sales_Case_Study[[#This Row],[Sales_Amount]]-Supermarket_Sales_Case_Study[[#This Row],[Purchase]])/Supermarket_Sales_Case_Study[[#This Row],[Sales_Amount]]</f>
        <v>0.29999999999999932</v>
      </c>
      <c r="P117">
        <f>Supermarket_Sales_Case_Study[[#This Row],[Quantity]]*Supermarket_Sales_Case_Study[[#This Row],[Sales_Amount]]</f>
        <v>2470.9074237838722</v>
      </c>
    </row>
    <row r="118" spans="1:16" x14ac:dyDescent="0.3">
      <c r="A118" t="s">
        <v>148</v>
      </c>
      <c r="B118" t="s">
        <v>21</v>
      </c>
      <c r="C118" t="s">
        <v>30</v>
      </c>
      <c r="D118">
        <v>1806</v>
      </c>
      <c r="E118" t="s">
        <v>16</v>
      </c>
      <c r="F118" t="s">
        <v>17</v>
      </c>
      <c r="G118" t="s">
        <v>33</v>
      </c>
      <c r="H118" s="1">
        <v>45345</v>
      </c>
      <c r="I118">
        <v>225.419242722831</v>
      </c>
      <c r="J118">
        <v>2</v>
      </c>
      <c r="K118">
        <v>450.83848544566303</v>
      </c>
      <c r="L118">
        <v>135.25154563369901</v>
      </c>
      <c r="M118" t="s">
        <v>34</v>
      </c>
      <c r="N118">
        <f>Supermarket_Sales_Case_Study[[#This Row],[Sales_Amount]]-Supermarket_Sales_Case_Study[[#This Row],[Profit]]</f>
        <v>315.58693981196404</v>
      </c>
      <c r="O118" s="2">
        <f>(Supermarket_Sales_Case_Study[[#This Row],[Sales_Amount]]-Supermarket_Sales_Case_Study[[#This Row],[Purchase]])/Supermarket_Sales_Case_Study[[#This Row],[Sales_Amount]]</f>
        <v>0.30000000000000016</v>
      </c>
      <c r="P118">
        <f>Supermarket_Sales_Case_Study[[#This Row],[Quantity]]*Supermarket_Sales_Case_Study[[#This Row],[Sales_Amount]]</f>
        <v>901.67697089132605</v>
      </c>
    </row>
    <row r="119" spans="1:16" x14ac:dyDescent="0.3">
      <c r="A119" t="s">
        <v>149</v>
      </c>
      <c r="B119" t="s">
        <v>14</v>
      </c>
      <c r="C119" t="s">
        <v>15</v>
      </c>
      <c r="D119">
        <v>1234</v>
      </c>
      <c r="E119" t="s">
        <v>16</v>
      </c>
      <c r="F119" t="s">
        <v>22</v>
      </c>
      <c r="G119" t="s">
        <v>33</v>
      </c>
      <c r="H119" s="1">
        <v>45353</v>
      </c>
      <c r="I119">
        <v>104.84294680402699</v>
      </c>
      <c r="J119">
        <v>9</v>
      </c>
      <c r="K119">
        <v>943.58652123624404</v>
      </c>
      <c r="L119">
        <v>283.07595637087297</v>
      </c>
      <c r="M119" t="s">
        <v>24</v>
      </c>
      <c r="N119">
        <f>Supermarket_Sales_Case_Study[[#This Row],[Sales_Amount]]-Supermarket_Sales_Case_Study[[#This Row],[Profit]]</f>
        <v>660.51056486537107</v>
      </c>
      <c r="O119" s="2">
        <f>(Supermarket_Sales_Case_Study[[#This Row],[Sales_Amount]]-Supermarket_Sales_Case_Study[[#This Row],[Purchase]])/Supermarket_Sales_Case_Study[[#This Row],[Sales_Amount]]</f>
        <v>0.29999999999999977</v>
      </c>
      <c r="P119">
        <f>Supermarket_Sales_Case_Study[[#This Row],[Quantity]]*Supermarket_Sales_Case_Study[[#This Row],[Sales_Amount]]</f>
        <v>8492.2786911261956</v>
      </c>
    </row>
    <row r="120" spans="1:16" x14ac:dyDescent="0.3">
      <c r="A120" t="s">
        <v>150</v>
      </c>
      <c r="B120" t="s">
        <v>14</v>
      </c>
      <c r="C120" t="s">
        <v>15</v>
      </c>
      <c r="D120">
        <v>1674</v>
      </c>
      <c r="E120" t="s">
        <v>26</v>
      </c>
      <c r="F120" t="s">
        <v>17</v>
      </c>
      <c r="G120" t="s">
        <v>37</v>
      </c>
      <c r="H120" s="1">
        <v>45292</v>
      </c>
      <c r="I120">
        <v>268.11653738492299</v>
      </c>
      <c r="J120">
        <v>2</v>
      </c>
      <c r="K120">
        <v>536.23307476984598</v>
      </c>
      <c r="L120">
        <v>160.86992243095301</v>
      </c>
      <c r="M120" t="s">
        <v>24</v>
      </c>
      <c r="N120">
        <f>Supermarket_Sales_Case_Study[[#This Row],[Sales_Amount]]-Supermarket_Sales_Case_Study[[#This Row],[Profit]]</f>
        <v>375.36315233889297</v>
      </c>
      <c r="O120" s="2">
        <f>(Supermarket_Sales_Case_Study[[#This Row],[Sales_Amount]]-Supermarket_Sales_Case_Study[[#This Row],[Purchase]])/Supermarket_Sales_Case_Study[[#This Row],[Sales_Amount]]</f>
        <v>0.29999999999999855</v>
      </c>
      <c r="P120">
        <f>Supermarket_Sales_Case_Study[[#This Row],[Quantity]]*Supermarket_Sales_Case_Study[[#This Row],[Sales_Amount]]</f>
        <v>1072.466149539692</v>
      </c>
    </row>
    <row r="121" spans="1:16" x14ac:dyDescent="0.3">
      <c r="A121" t="s">
        <v>151</v>
      </c>
      <c r="B121" t="s">
        <v>39</v>
      </c>
      <c r="C121" t="s">
        <v>15</v>
      </c>
      <c r="D121">
        <v>1560</v>
      </c>
      <c r="E121" t="s">
        <v>26</v>
      </c>
      <c r="F121" t="s">
        <v>17</v>
      </c>
      <c r="G121" t="s">
        <v>33</v>
      </c>
      <c r="H121" s="1">
        <v>45340</v>
      </c>
      <c r="I121">
        <v>34.447381237291602</v>
      </c>
      <c r="J121">
        <v>9</v>
      </c>
      <c r="K121">
        <v>310.02643113562402</v>
      </c>
      <c r="L121">
        <v>93.007929340687298</v>
      </c>
      <c r="M121" t="s">
        <v>24</v>
      </c>
      <c r="N121">
        <f>Supermarket_Sales_Case_Study[[#This Row],[Sales_Amount]]-Supermarket_Sales_Case_Study[[#This Row],[Profit]]</f>
        <v>217.01850179493672</v>
      </c>
      <c r="O121" s="2">
        <f>(Supermarket_Sales_Case_Study[[#This Row],[Sales_Amount]]-Supermarket_Sales_Case_Study[[#This Row],[Purchase]])/Supermarket_Sales_Case_Study[[#This Row],[Sales_Amount]]</f>
        <v>0.30000000000000027</v>
      </c>
      <c r="P121">
        <f>Supermarket_Sales_Case_Study[[#This Row],[Quantity]]*Supermarket_Sales_Case_Study[[#This Row],[Sales_Amount]]</f>
        <v>2790.2378802206163</v>
      </c>
    </row>
    <row r="122" spans="1:16" x14ac:dyDescent="0.3">
      <c r="A122" t="s">
        <v>152</v>
      </c>
      <c r="B122" t="s">
        <v>21</v>
      </c>
      <c r="C122" t="s">
        <v>36</v>
      </c>
      <c r="D122">
        <v>2325</v>
      </c>
      <c r="E122" t="s">
        <v>26</v>
      </c>
      <c r="F122" t="s">
        <v>22</v>
      </c>
      <c r="G122" t="s">
        <v>31</v>
      </c>
      <c r="H122" s="1">
        <v>45316</v>
      </c>
      <c r="I122">
        <v>244.084902449444</v>
      </c>
      <c r="J122">
        <v>2</v>
      </c>
      <c r="K122">
        <v>488.16980489888903</v>
      </c>
      <c r="L122">
        <v>146.45094146966599</v>
      </c>
      <c r="M122" t="s">
        <v>24</v>
      </c>
      <c r="N122">
        <f>Supermarket_Sales_Case_Study[[#This Row],[Sales_Amount]]-Supermarket_Sales_Case_Study[[#This Row],[Profit]]</f>
        <v>341.71886342922301</v>
      </c>
      <c r="O122" s="2">
        <f>(Supermarket_Sales_Case_Study[[#This Row],[Sales_Amount]]-Supermarket_Sales_Case_Study[[#This Row],[Purchase]])/Supermarket_Sales_Case_Study[[#This Row],[Sales_Amount]]</f>
        <v>0.2999999999999986</v>
      </c>
      <c r="P122">
        <f>Supermarket_Sales_Case_Study[[#This Row],[Quantity]]*Supermarket_Sales_Case_Study[[#This Row],[Sales_Amount]]</f>
        <v>976.33960979777805</v>
      </c>
    </row>
    <row r="123" spans="1:16" x14ac:dyDescent="0.3">
      <c r="A123" t="s">
        <v>153</v>
      </c>
      <c r="B123" t="s">
        <v>14</v>
      </c>
      <c r="C123" t="s">
        <v>36</v>
      </c>
      <c r="D123">
        <v>1037</v>
      </c>
      <c r="E123" t="s">
        <v>26</v>
      </c>
      <c r="F123" t="s">
        <v>22</v>
      </c>
      <c r="G123" t="s">
        <v>31</v>
      </c>
      <c r="H123" s="1">
        <v>45301</v>
      </c>
      <c r="I123">
        <v>259.782691486376</v>
      </c>
      <c r="J123">
        <v>8</v>
      </c>
      <c r="K123">
        <v>2078.2615318910098</v>
      </c>
      <c r="L123">
        <v>623.47845956730305</v>
      </c>
      <c r="M123" t="s">
        <v>24</v>
      </c>
      <c r="N123">
        <f>Supermarket_Sales_Case_Study[[#This Row],[Sales_Amount]]-Supermarket_Sales_Case_Study[[#This Row],[Profit]]</f>
        <v>1454.7830723237066</v>
      </c>
      <c r="O123" s="2">
        <f>(Supermarket_Sales_Case_Study[[#This Row],[Sales_Amount]]-Supermarket_Sales_Case_Study[[#This Row],[Purchase]])/Supermarket_Sales_Case_Study[[#This Row],[Sales_Amount]]</f>
        <v>0.3000000000000001</v>
      </c>
      <c r="P123">
        <f>Supermarket_Sales_Case_Study[[#This Row],[Quantity]]*Supermarket_Sales_Case_Study[[#This Row],[Sales_Amount]]</f>
        <v>16626.092255128078</v>
      </c>
    </row>
    <row r="124" spans="1:16" x14ac:dyDescent="0.3">
      <c r="A124" t="s">
        <v>154</v>
      </c>
      <c r="B124" t="s">
        <v>39</v>
      </c>
      <c r="C124" t="s">
        <v>15</v>
      </c>
      <c r="D124">
        <v>2159</v>
      </c>
      <c r="E124" t="s">
        <v>26</v>
      </c>
      <c r="F124" t="s">
        <v>22</v>
      </c>
      <c r="G124" t="s">
        <v>37</v>
      </c>
      <c r="H124" s="1">
        <v>45371</v>
      </c>
      <c r="I124">
        <v>247.00317029637799</v>
      </c>
      <c r="J124">
        <v>9</v>
      </c>
      <c r="K124">
        <v>2223.0285326674002</v>
      </c>
      <c r="L124">
        <v>666.90855980022104</v>
      </c>
      <c r="M124" t="s">
        <v>19</v>
      </c>
      <c r="N124">
        <f>Supermarket_Sales_Case_Study[[#This Row],[Sales_Amount]]-Supermarket_Sales_Case_Study[[#This Row],[Profit]]</f>
        <v>1556.1199728671791</v>
      </c>
      <c r="O124" s="2">
        <f>(Supermarket_Sales_Case_Study[[#This Row],[Sales_Amount]]-Supermarket_Sales_Case_Study[[#This Row],[Purchase]])/Supermarket_Sales_Case_Study[[#This Row],[Sales_Amount]]</f>
        <v>0.30000000000000049</v>
      </c>
      <c r="P124">
        <f>Supermarket_Sales_Case_Study[[#This Row],[Quantity]]*Supermarket_Sales_Case_Study[[#This Row],[Sales_Amount]]</f>
        <v>20007.2567940066</v>
      </c>
    </row>
    <row r="125" spans="1:16" x14ac:dyDescent="0.3">
      <c r="A125" t="s">
        <v>155</v>
      </c>
      <c r="B125" t="s">
        <v>14</v>
      </c>
      <c r="C125" t="s">
        <v>15</v>
      </c>
      <c r="D125">
        <v>1821</v>
      </c>
      <c r="E125" t="s">
        <v>16</v>
      </c>
      <c r="F125" t="s">
        <v>22</v>
      </c>
      <c r="G125" t="s">
        <v>28</v>
      </c>
      <c r="H125" s="1">
        <v>45307</v>
      </c>
      <c r="I125">
        <v>158.69065433591501</v>
      </c>
      <c r="J125">
        <v>9</v>
      </c>
      <c r="K125">
        <v>1428.2158890232299</v>
      </c>
      <c r="L125">
        <v>428.46476670697001</v>
      </c>
      <c r="M125" t="s">
        <v>19</v>
      </c>
      <c r="N125">
        <f>Supermarket_Sales_Case_Study[[#This Row],[Sales_Amount]]-Supermarket_Sales_Case_Study[[#This Row],[Profit]]</f>
        <v>999.75112231625985</v>
      </c>
      <c r="O125" s="2">
        <f>(Supermarket_Sales_Case_Study[[#This Row],[Sales_Amount]]-Supermarket_Sales_Case_Study[[#This Row],[Purchase]])/Supermarket_Sales_Case_Study[[#This Row],[Sales_Amount]]</f>
        <v>0.30000000000000077</v>
      </c>
      <c r="P125">
        <f>Supermarket_Sales_Case_Study[[#This Row],[Quantity]]*Supermarket_Sales_Case_Study[[#This Row],[Sales_Amount]]</f>
        <v>12853.943001209069</v>
      </c>
    </row>
    <row r="126" spans="1:16" x14ac:dyDescent="0.3">
      <c r="A126" t="s">
        <v>156</v>
      </c>
      <c r="B126" t="s">
        <v>14</v>
      </c>
      <c r="C126" t="s">
        <v>15</v>
      </c>
      <c r="D126">
        <v>1420</v>
      </c>
      <c r="E126" t="s">
        <v>16</v>
      </c>
      <c r="F126" t="s">
        <v>22</v>
      </c>
      <c r="G126" t="s">
        <v>18</v>
      </c>
      <c r="H126" s="1">
        <v>45349</v>
      </c>
      <c r="I126">
        <v>137.13164420891999</v>
      </c>
      <c r="J126">
        <v>9</v>
      </c>
      <c r="K126">
        <v>1234.18479788028</v>
      </c>
      <c r="L126">
        <v>370.25543936408599</v>
      </c>
      <c r="M126" t="s">
        <v>24</v>
      </c>
      <c r="N126">
        <f>Supermarket_Sales_Case_Study[[#This Row],[Sales_Amount]]-Supermarket_Sales_Case_Study[[#This Row],[Profit]]</f>
        <v>863.92935851619404</v>
      </c>
      <c r="O126" s="2">
        <f>(Supermarket_Sales_Case_Study[[#This Row],[Sales_Amount]]-Supermarket_Sales_Case_Study[[#This Row],[Purchase]])/Supermarket_Sales_Case_Study[[#This Row],[Sales_Amount]]</f>
        <v>0.3000000000000016</v>
      </c>
      <c r="P126">
        <f>Supermarket_Sales_Case_Study[[#This Row],[Quantity]]*Supermarket_Sales_Case_Study[[#This Row],[Sales_Amount]]</f>
        <v>11107.66318092252</v>
      </c>
    </row>
    <row r="127" spans="1:16" x14ac:dyDescent="0.3">
      <c r="A127" t="s">
        <v>157</v>
      </c>
      <c r="B127" t="s">
        <v>21</v>
      </c>
      <c r="C127" t="s">
        <v>36</v>
      </c>
      <c r="D127">
        <v>2242</v>
      </c>
      <c r="E127" t="s">
        <v>16</v>
      </c>
      <c r="F127" t="s">
        <v>17</v>
      </c>
      <c r="G127" t="s">
        <v>23</v>
      </c>
      <c r="H127" s="1">
        <v>45363</v>
      </c>
      <c r="I127">
        <v>298.91606309221402</v>
      </c>
      <c r="J127">
        <v>2</v>
      </c>
      <c r="K127">
        <v>597.83212618442803</v>
      </c>
      <c r="L127">
        <v>179.34963785532801</v>
      </c>
      <c r="M127" t="s">
        <v>34</v>
      </c>
      <c r="N127">
        <f>Supermarket_Sales_Case_Study[[#This Row],[Sales_Amount]]-Supermarket_Sales_Case_Study[[#This Row],[Profit]]</f>
        <v>418.48248832910002</v>
      </c>
      <c r="O127" s="2">
        <f>(Supermarket_Sales_Case_Study[[#This Row],[Sales_Amount]]-Supermarket_Sales_Case_Study[[#This Row],[Purchase]])/Supermarket_Sales_Case_Study[[#This Row],[Sales_Amount]]</f>
        <v>0.29999999999999932</v>
      </c>
      <c r="P127">
        <f>Supermarket_Sales_Case_Study[[#This Row],[Quantity]]*Supermarket_Sales_Case_Study[[#This Row],[Sales_Amount]]</f>
        <v>1195.6642523688561</v>
      </c>
    </row>
    <row r="128" spans="1:16" x14ac:dyDescent="0.3">
      <c r="A128" t="s">
        <v>158</v>
      </c>
      <c r="B128" t="s">
        <v>14</v>
      </c>
      <c r="C128" t="s">
        <v>15</v>
      </c>
      <c r="D128">
        <v>1347</v>
      </c>
      <c r="E128" t="s">
        <v>16</v>
      </c>
      <c r="F128" t="s">
        <v>22</v>
      </c>
      <c r="G128" t="s">
        <v>23</v>
      </c>
      <c r="H128" s="1">
        <v>45320</v>
      </c>
      <c r="I128">
        <v>76.459865852107001</v>
      </c>
      <c r="J128">
        <v>4</v>
      </c>
      <c r="K128">
        <v>305.839463408428</v>
      </c>
      <c r="L128">
        <v>91.751839022528401</v>
      </c>
      <c r="M128" t="s">
        <v>24</v>
      </c>
      <c r="N128">
        <f>Supermarket_Sales_Case_Study[[#This Row],[Sales_Amount]]-Supermarket_Sales_Case_Study[[#This Row],[Profit]]</f>
        <v>214.0876243858996</v>
      </c>
      <c r="O128" s="2">
        <f>(Supermarket_Sales_Case_Study[[#This Row],[Sales_Amount]]-Supermarket_Sales_Case_Study[[#This Row],[Purchase]])/Supermarket_Sales_Case_Study[[#This Row],[Sales_Amount]]</f>
        <v>0.3</v>
      </c>
      <c r="P128">
        <f>Supermarket_Sales_Case_Study[[#This Row],[Quantity]]*Supermarket_Sales_Case_Study[[#This Row],[Sales_Amount]]</f>
        <v>1223.357853633712</v>
      </c>
    </row>
    <row r="129" spans="1:16" x14ac:dyDescent="0.3">
      <c r="A129" t="s">
        <v>159</v>
      </c>
      <c r="B129" t="s">
        <v>21</v>
      </c>
      <c r="C129" t="s">
        <v>15</v>
      </c>
      <c r="D129">
        <v>2102</v>
      </c>
      <c r="E129" t="s">
        <v>26</v>
      </c>
      <c r="F129" t="s">
        <v>17</v>
      </c>
      <c r="G129" t="s">
        <v>37</v>
      </c>
      <c r="H129" s="1">
        <v>45297</v>
      </c>
      <c r="I129">
        <v>168.594030104052</v>
      </c>
      <c r="J129">
        <v>7</v>
      </c>
      <c r="K129">
        <v>1180.15821072837</v>
      </c>
      <c r="L129">
        <v>354.04746321851098</v>
      </c>
      <c r="M129" t="s">
        <v>19</v>
      </c>
      <c r="N129">
        <f>Supermarket_Sales_Case_Study[[#This Row],[Sales_Amount]]-Supermarket_Sales_Case_Study[[#This Row],[Profit]]</f>
        <v>826.11074750985904</v>
      </c>
      <c r="O129" s="2">
        <f>(Supermarket_Sales_Case_Study[[#This Row],[Sales_Amount]]-Supermarket_Sales_Case_Study[[#This Row],[Purchase]])/Supermarket_Sales_Case_Study[[#This Row],[Sales_Amount]]</f>
        <v>0.3</v>
      </c>
      <c r="P129">
        <f>Supermarket_Sales_Case_Study[[#This Row],[Quantity]]*Supermarket_Sales_Case_Study[[#This Row],[Sales_Amount]]</f>
        <v>8261.1074750985899</v>
      </c>
    </row>
    <row r="130" spans="1:16" x14ac:dyDescent="0.3">
      <c r="A130" t="s">
        <v>160</v>
      </c>
      <c r="B130" t="s">
        <v>14</v>
      </c>
      <c r="C130" t="s">
        <v>30</v>
      </c>
      <c r="D130">
        <v>1747</v>
      </c>
      <c r="E130" t="s">
        <v>26</v>
      </c>
      <c r="F130" t="s">
        <v>17</v>
      </c>
      <c r="G130" t="s">
        <v>31</v>
      </c>
      <c r="H130" s="1">
        <v>45307</v>
      </c>
      <c r="I130">
        <v>204.495902360874</v>
      </c>
      <c r="J130">
        <v>2</v>
      </c>
      <c r="K130">
        <v>408.991804721748</v>
      </c>
      <c r="L130">
        <v>122.697541416524</v>
      </c>
      <c r="M130" t="s">
        <v>24</v>
      </c>
      <c r="N130">
        <f>Supermarket_Sales_Case_Study[[#This Row],[Sales_Amount]]-Supermarket_Sales_Case_Study[[#This Row],[Profit]]</f>
        <v>286.29426330522398</v>
      </c>
      <c r="O130" s="2">
        <f>(Supermarket_Sales_Case_Study[[#This Row],[Sales_Amount]]-Supermarket_Sales_Case_Study[[#This Row],[Purchase]])/Supermarket_Sales_Case_Study[[#This Row],[Sales_Amount]]</f>
        <v>0.29999999999999905</v>
      </c>
      <c r="P130">
        <f>Supermarket_Sales_Case_Study[[#This Row],[Quantity]]*Supermarket_Sales_Case_Study[[#This Row],[Sales_Amount]]</f>
        <v>817.98360944349599</v>
      </c>
    </row>
    <row r="131" spans="1:16" x14ac:dyDescent="0.3">
      <c r="A131" t="s">
        <v>161</v>
      </c>
      <c r="B131" t="s">
        <v>39</v>
      </c>
      <c r="C131" t="s">
        <v>30</v>
      </c>
      <c r="D131">
        <v>1272</v>
      </c>
      <c r="E131" t="s">
        <v>26</v>
      </c>
      <c r="F131" t="s">
        <v>17</v>
      </c>
      <c r="G131" t="s">
        <v>23</v>
      </c>
      <c r="H131" s="1">
        <v>45311</v>
      </c>
      <c r="I131">
        <v>213.251614399815</v>
      </c>
      <c r="J131">
        <v>1</v>
      </c>
      <c r="K131">
        <v>213.251614399815</v>
      </c>
      <c r="L131">
        <v>63.975484319944499</v>
      </c>
      <c r="M131" t="s">
        <v>19</v>
      </c>
      <c r="N131">
        <f>Supermarket_Sales_Case_Study[[#This Row],[Sales_Amount]]-Supermarket_Sales_Case_Study[[#This Row],[Profit]]</f>
        <v>149.27613007987048</v>
      </c>
      <c r="O131" s="2">
        <f>(Supermarket_Sales_Case_Study[[#This Row],[Sales_Amount]]-Supermarket_Sales_Case_Study[[#This Row],[Purchase]])/Supermarket_Sales_Case_Study[[#This Row],[Sales_Amount]]</f>
        <v>0.30000000000000004</v>
      </c>
      <c r="P131">
        <f>Supermarket_Sales_Case_Study[[#This Row],[Quantity]]*Supermarket_Sales_Case_Study[[#This Row],[Sales_Amount]]</f>
        <v>213.251614399815</v>
      </c>
    </row>
    <row r="132" spans="1:16" x14ac:dyDescent="0.3">
      <c r="A132" t="s">
        <v>162</v>
      </c>
      <c r="B132" t="s">
        <v>14</v>
      </c>
      <c r="C132" t="s">
        <v>36</v>
      </c>
      <c r="D132">
        <v>2184</v>
      </c>
      <c r="E132" t="s">
        <v>26</v>
      </c>
      <c r="F132" t="s">
        <v>22</v>
      </c>
      <c r="G132" t="s">
        <v>31</v>
      </c>
      <c r="H132" s="1">
        <v>45371</v>
      </c>
      <c r="I132">
        <v>69.167153064187801</v>
      </c>
      <c r="J132">
        <v>3</v>
      </c>
      <c r="K132">
        <v>207.501459192563</v>
      </c>
      <c r="L132">
        <v>62.250437757768999</v>
      </c>
      <c r="M132" t="s">
        <v>19</v>
      </c>
      <c r="N132">
        <f>Supermarket_Sales_Case_Study[[#This Row],[Sales_Amount]]-Supermarket_Sales_Case_Study[[#This Row],[Profit]]</f>
        <v>145.25102143479401</v>
      </c>
      <c r="O132" s="2">
        <f>(Supermarket_Sales_Case_Study[[#This Row],[Sales_Amount]]-Supermarket_Sales_Case_Study[[#This Row],[Purchase]])/Supermarket_Sales_Case_Study[[#This Row],[Sales_Amount]]</f>
        <v>0.30000000000000043</v>
      </c>
      <c r="P132">
        <f>Supermarket_Sales_Case_Study[[#This Row],[Quantity]]*Supermarket_Sales_Case_Study[[#This Row],[Sales_Amount]]</f>
        <v>622.50437757768896</v>
      </c>
    </row>
    <row r="133" spans="1:16" x14ac:dyDescent="0.3">
      <c r="A133" t="s">
        <v>163</v>
      </c>
      <c r="B133" t="s">
        <v>21</v>
      </c>
      <c r="C133" t="s">
        <v>15</v>
      </c>
      <c r="D133">
        <v>1307</v>
      </c>
      <c r="E133" t="s">
        <v>26</v>
      </c>
      <c r="F133" t="s">
        <v>22</v>
      </c>
      <c r="G133" t="s">
        <v>28</v>
      </c>
      <c r="H133" s="1">
        <v>45362</v>
      </c>
      <c r="I133">
        <v>199.65828677854199</v>
      </c>
      <c r="J133">
        <v>4</v>
      </c>
      <c r="K133">
        <v>798.63314711416899</v>
      </c>
      <c r="L133">
        <v>239.58994413425</v>
      </c>
      <c r="M133" t="s">
        <v>24</v>
      </c>
      <c r="N133">
        <f>Supermarket_Sales_Case_Study[[#This Row],[Sales_Amount]]-Supermarket_Sales_Case_Study[[#This Row],[Profit]]</f>
        <v>559.04320297991899</v>
      </c>
      <c r="O133" s="2">
        <f>(Supermarket_Sales_Case_Study[[#This Row],[Sales_Amount]]-Supermarket_Sales_Case_Study[[#This Row],[Purchase]])/Supermarket_Sales_Case_Study[[#This Row],[Sales_Amount]]</f>
        <v>0.29999999999999916</v>
      </c>
      <c r="P133">
        <f>Supermarket_Sales_Case_Study[[#This Row],[Quantity]]*Supermarket_Sales_Case_Study[[#This Row],[Sales_Amount]]</f>
        <v>3194.532588456676</v>
      </c>
    </row>
    <row r="134" spans="1:16" x14ac:dyDescent="0.3">
      <c r="A134" t="s">
        <v>164</v>
      </c>
      <c r="B134" t="s">
        <v>21</v>
      </c>
      <c r="C134" t="s">
        <v>15</v>
      </c>
      <c r="D134">
        <v>2397</v>
      </c>
      <c r="E134" t="s">
        <v>16</v>
      </c>
      <c r="F134" t="s">
        <v>17</v>
      </c>
      <c r="G134" t="s">
        <v>18</v>
      </c>
      <c r="H134" s="1">
        <v>45369</v>
      </c>
      <c r="I134">
        <v>247.32717427958701</v>
      </c>
      <c r="J134">
        <v>8</v>
      </c>
      <c r="K134">
        <v>1978.6173942367</v>
      </c>
      <c r="L134">
        <v>593.58521827101004</v>
      </c>
      <c r="M134" t="s">
        <v>24</v>
      </c>
      <c r="N134">
        <f>Supermarket_Sales_Case_Study[[#This Row],[Sales_Amount]]-Supermarket_Sales_Case_Study[[#This Row],[Profit]]</f>
        <v>1385.0321759656899</v>
      </c>
      <c r="O134" s="2">
        <f>(Supermarket_Sales_Case_Study[[#This Row],[Sales_Amount]]-Supermarket_Sales_Case_Study[[#This Row],[Purchase]])/Supermarket_Sales_Case_Study[[#This Row],[Sales_Amount]]</f>
        <v>0.30000000000000004</v>
      </c>
      <c r="P134">
        <f>Supermarket_Sales_Case_Study[[#This Row],[Quantity]]*Supermarket_Sales_Case_Study[[#This Row],[Sales_Amount]]</f>
        <v>15828.9391538936</v>
      </c>
    </row>
    <row r="135" spans="1:16" x14ac:dyDescent="0.3">
      <c r="A135" t="s">
        <v>165</v>
      </c>
      <c r="B135" t="s">
        <v>39</v>
      </c>
      <c r="C135" t="s">
        <v>30</v>
      </c>
      <c r="D135">
        <v>1975</v>
      </c>
      <c r="E135" t="s">
        <v>26</v>
      </c>
      <c r="F135" t="s">
        <v>22</v>
      </c>
      <c r="G135" t="s">
        <v>28</v>
      </c>
      <c r="H135" s="1">
        <v>45334</v>
      </c>
      <c r="I135">
        <v>24.505387278122502</v>
      </c>
      <c r="J135">
        <v>6</v>
      </c>
      <c r="K135">
        <v>147.03232366873499</v>
      </c>
      <c r="L135">
        <v>44.109697100620501</v>
      </c>
      <c r="M135" t="s">
        <v>34</v>
      </c>
      <c r="N135">
        <f>Supermarket_Sales_Case_Study[[#This Row],[Sales_Amount]]-Supermarket_Sales_Case_Study[[#This Row],[Profit]]</f>
        <v>102.92262656811448</v>
      </c>
      <c r="O135" s="2">
        <f>(Supermarket_Sales_Case_Study[[#This Row],[Sales_Amount]]-Supermarket_Sales_Case_Study[[#This Row],[Purchase]])/Supermarket_Sales_Case_Study[[#This Row],[Sales_Amount]]</f>
        <v>0.3000000000000001</v>
      </c>
      <c r="P135">
        <f>Supermarket_Sales_Case_Study[[#This Row],[Quantity]]*Supermarket_Sales_Case_Study[[#This Row],[Sales_Amount]]</f>
        <v>882.19394201240993</v>
      </c>
    </row>
    <row r="136" spans="1:16" x14ac:dyDescent="0.3">
      <c r="A136" t="s">
        <v>166</v>
      </c>
      <c r="B136" t="s">
        <v>14</v>
      </c>
      <c r="C136" t="s">
        <v>36</v>
      </c>
      <c r="D136">
        <v>1732</v>
      </c>
      <c r="E136" t="s">
        <v>16</v>
      </c>
      <c r="F136" t="s">
        <v>22</v>
      </c>
      <c r="G136" t="s">
        <v>37</v>
      </c>
      <c r="H136" s="1">
        <v>45317</v>
      </c>
      <c r="I136">
        <v>274.34117506434097</v>
      </c>
      <c r="J136">
        <v>2</v>
      </c>
      <c r="K136">
        <v>548.68235012868297</v>
      </c>
      <c r="L136">
        <v>164.604705038605</v>
      </c>
      <c r="M136" t="s">
        <v>19</v>
      </c>
      <c r="N136">
        <f>Supermarket_Sales_Case_Study[[#This Row],[Sales_Amount]]-Supermarket_Sales_Case_Study[[#This Row],[Profit]]</f>
        <v>384.07764509007797</v>
      </c>
      <c r="O136" s="2">
        <f>(Supermarket_Sales_Case_Study[[#This Row],[Sales_Amount]]-Supermarket_Sales_Case_Study[[#This Row],[Purchase]])/Supermarket_Sales_Case_Study[[#This Row],[Sales_Amount]]</f>
        <v>0.30000000000000021</v>
      </c>
      <c r="P136">
        <f>Supermarket_Sales_Case_Study[[#This Row],[Quantity]]*Supermarket_Sales_Case_Study[[#This Row],[Sales_Amount]]</f>
        <v>1097.3647002573659</v>
      </c>
    </row>
    <row r="137" spans="1:16" x14ac:dyDescent="0.3">
      <c r="A137" t="s">
        <v>167</v>
      </c>
      <c r="B137" t="s">
        <v>14</v>
      </c>
      <c r="C137" t="s">
        <v>30</v>
      </c>
      <c r="D137">
        <v>2032</v>
      </c>
      <c r="E137" t="s">
        <v>16</v>
      </c>
      <c r="F137" t="s">
        <v>22</v>
      </c>
      <c r="G137" t="s">
        <v>33</v>
      </c>
      <c r="H137" s="1">
        <v>45381</v>
      </c>
      <c r="I137">
        <v>18.556175992109701</v>
      </c>
      <c r="J137">
        <v>9</v>
      </c>
      <c r="K137">
        <v>167.00558392898699</v>
      </c>
      <c r="L137">
        <v>50.101675178696198</v>
      </c>
      <c r="M137" t="s">
        <v>34</v>
      </c>
      <c r="N137">
        <f>Supermarket_Sales_Case_Study[[#This Row],[Sales_Amount]]-Supermarket_Sales_Case_Study[[#This Row],[Profit]]</f>
        <v>116.9039087502908</v>
      </c>
      <c r="O137" s="2">
        <f>(Supermarket_Sales_Case_Study[[#This Row],[Sales_Amount]]-Supermarket_Sales_Case_Study[[#This Row],[Purchase]])/Supermarket_Sales_Case_Study[[#This Row],[Sales_Amount]]</f>
        <v>0.3000000000000006</v>
      </c>
      <c r="P137">
        <f>Supermarket_Sales_Case_Study[[#This Row],[Quantity]]*Supermarket_Sales_Case_Study[[#This Row],[Sales_Amount]]</f>
        <v>1503.0502553608831</v>
      </c>
    </row>
    <row r="138" spans="1:16" x14ac:dyDescent="0.3">
      <c r="A138" t="s">
        <v>168</v>
      </c>
      <c r="B138" t="s">
        <v>39</v>
      </c>
      <c r="C138" t="s">
        <v>30</v>
      </c>
      <c r="D138">
        <v>1443</v>
      </c>
      <c r="E138" t="s">
        <v>16</v>
      </c>
      <c r="F138" t="s">
        <v>22</v>
      </c>
      <c r="G138" t="s">
        <v>33</v>
      </c>
      <c r="H138" s="1">
        <v>45369</v>
      </c>
      <c r="I138">
        <v>113.231599421634</v>
      </c>
      <c r="J138">
        <v>2</v>
      </c>
      <c r="K138">
        <v>226.463198843268</v>
      </c>
      <c r="L138">
        <v>67.9389596529806</v>
      </c>
      <c r="M138" t="s">
        <v>24</v>
      </c>
      <c r="N138">
        <f>Supermarket_Sales_Case_Study[[#This Row],[Sales_Amount]]-Supermarket_Sales_Case_Study[[#This Row],[Profit]]</f>
        <v>158.5242391902874</v>
      </c>
      <c r="O138" s="2">
        <f>(Supermarket_Sales_Case_Study[[#This Row],[Sales_Amount]]-Supermarket_Sales_Case_Study[[#This Row],[Purchase]])/Supermarket_Sales_Case_Study[[#This Row],[Sales_Amount]]</f>
        <v>0.30000000000000088</v>
      </c>
      <c r="P138">
        <f>Supermarket_Sales_Case_Study[[#This Row],[Quantity]]*Supermarket_Sales_Case_Study[[#This Row],[Sales_Amount]]</f>
        <v>452.92639768653601</v>
      </c>
    </row>
    <row r="139" spans="1:16" x14ac:dyDescent="0.3">
      <c r="A139" t="s">
        <v>169</v>
      </c>
      <c r="B139" t="s">
        <v>14</v>
      </c>
      <c r="C139" t="s">
        <v>30</v>
      </c>
      <c r="D139">
        <v>2136</v>
      </c>
      <c r="E139" t="s">
        <v>16</v>
      </c>
      <c r="F139" t="s">
        <v>17</v>
      </c>
      <c r="G139" t="s">
        <v>33</v>
      </c>
      <c r="H139" s="1">
        <v>45362</v>
      </c>
      <c r="I139">
        <v>14.585826907558999</v>
      </c>
      <c r="J139">
        <v>5</v>
      </c>
      <c r="K139">
        <v>72.929134537794994</v>
      </c>
      <c r="L139">
        <v>21.878740361338401</v>
      </c>
      <c r="M139" t="s">
        <v>19</v>
      </c>
      <c r="N139">
        <f>Supermarket_Sales_Case_Study[[#This Row],[Sales_Amount]]-Supermarket_Sales_Case_Study[[#This Row],[Profit]]</f>
        <v>51.050394176456592</v>
      </c>
      <c r="O139" s="2">
        <f>(Supermarket_Sales_Case_Study[[#This Row],[Sales_Amount]]-Supermarket_Sales_Case_Study[[#This Row],[Purchase]])/Supermarket_Sales_Case_Study[[#This Row],[Sales_Amount]]</f>
        <v>0.29999999999999866</v>
      </c>
      <c r="P139">
        <f>Supermarket_Sales_Case_Study[[#This Row],[Quantity]]*Supermarket_Sales_Case_Study[[#This Row],[Sales_Amount]]</f>
        <v>364.64567268897497</v>
      </c>
    </row>
    <row r="140" spans="1:16" x14ac:dyDescent="0.3">
      <c r="A140" t="s">
        <v>170</v>
      </c>
      <c r="B140" t="s">
        <v>14</v>
      </c>
      <c r="C140" t="s">
        <v>30</v>
      </c>
      <c r="D140">
        <v>2228</v>
      </c>
      <c r="E140" t="s">
        <v>26</v>
      </c>
      <c r="F140" t="s">
        <v>17</v>
      </c>
      <c r="G140" t="s">
        <v>28</v>
      </c>
      <c r="H140" s="1">
        <v>45324</v>
      </c>
      <c r="I140">
        <v>32.372098876478702</v>
      </c>
      <c r="J140">
        <v>4</v>
      </c>
      <c r="K140">
        <v>129.48839550591401</v>
      </c>
      <c r="L140">
        <v>38.846518651774403</v>
      </c>
      <c r="M140" t="s">
        <v>34</v>
      </c>
      <c r="N140">
        <f>Supermarket_Sales_Case_Study[[#This Row],[Sales_Amount]]-Supermarket_Sales_Case_Study[[#This Row],[Profit]]</f>
        <v>90.64187685413961</v>
      </c>
      <c r="O140" s="2">
        <f>(Supermarket_Sales_Case_Study[[#This Row],[Sales_Amount]]-Supermarket_Sales_Case_Study[[#This Row],[Purchase]])/Supermarket_Sales_Case_Study[[#This Row],[Sales_Amount]]</f>
        <v>0.30000000000000154</v>
      </c>
      <c r="P140">
        <f>Supermarket_Sales_Case_Study[[#This Row],[Quantity]]*Supermarket_Sales_Case_Study[[#This Row],[Sales_Amount]]</f>
        <v>517.95358202365605</v>
      </c>
    </row>
    <row r="141" spans="1:16" x14ac:dyDescent="0.3">
      <c r="A141" t="s">
        <v>171</v>
      </c>
      <c r="B141" t="s">
        <v>21</v>
      </c>
      <c r="C141" t="s">
        <v>15</v>
      </c>
      <c r="D141">
        <v>1404</v>
      </c>
      <c r="E141" t="s">
        <v>16</v>
      </c>
      <c r="F141" t="s">
        <v>22</v>
      </c>
      <c r="G141" t="s">
        <v>23</v>
      </c>
      <c r="H141" s="1">
        <v>45317</v>
      </c>
      <c r="I141">
        <v>274.23880270222202</v>
      </c>
      <c r="J141">
        <v>7</v>
      </c>
      <c r="K141">
        <v>1919.67161891556</v>
      </c>
      <c r="L141">
        <v>575.90148567466804</v>
      </c>
      <c r="M141" t="s">
        <v>34</v>
      </c>
      <c r="N141">
        <f>Supermarket_Sales_Case_Study[[#This Row],[Sales_Amount]]-Supermarket_Sales_Case_Study[[#This Row],[Profit]]</f>
        <v>1343.7701332408919</v>
      </c>
      <c r="O141" s="2">
        <f>(Supermarket_Sales_Case_Study[[#This Row],[Sales_Amount]]-Supermarket_Sales_Case_Study[[#This Row],[Purchase]])/Supermarket_Sales_Case_Study[[#This Row],[Sales_Amount]]</f>
        <v>0.30000000000000004</v>
      </c>
      <c r="P141">
        <f>Supermarket_Sales_Case_Study[[#This Row],[Quantity]]*Supermarket_Sales_Case_Study[[#This Row],[Sales_Amount]]</f>
        <v>13437.70133240892</v>
      </c>
    </row>
    <row r="142" spans="1:16" x14ac:dyDescent="0.3">
      <c r="A142" t="s">
        <v>172</v>
      </c>
      <c r="B142" t="s">
        <v>14</v>
      </c>
      <c r="C142" t="s">
        <v>15</v>
      </c>
      <c r="D142">
        <v>1852</v>
      </c>
      <c r="E142" t="s">
        <v>16</v>
      </c>
      <c r="F142" t="s">
        <v>17</v>
      </c>
      <c r="G142" t="s">
        <v>18</v>
      </c>
      <c r="H142" s="1">
        <v>45336</v>
      </c>
      <c r="I142">
        <v>112.909640916382</v>
      </c>
      <c r="J142">
        <v>8</v>
      </c>
      <c r="K142">
        <v>903.27712733106296</v>
      </c>
      <c r="L142">
        <v>270.98313819931798</v>
      </c>
      <c r="M142" t="s">
        <v>34</v>
      </c>
      <c r="N142">
        <f>Supermarket_Sales_Case_Study[[#This Row],[Sales_Amount]]-Supermarket_Sales_Case_Study[[#This Row],[Profit]]</f>
        <v>632.29398913174498</v>
      </c>
      <c r="O142" s="2">
        <f>(Supermarket_Sales_Case_Study[[#This Row],[Sales_Amount]]-Supermarket_Sales_Case_Study[[#This Row],[Purchase]])/Supermarket_Sales_Case_Study[[#This Row],[Sales_Amount]]</f>
        <v>0.29999999999999899</v>
      </c>
      <c r="P142">
        <f>Supermarket_Sales_Case_Study[[#This Row],[Quantity]]*Supermarket_Sales_Case_Study[[#This Row],[Sales_Amount]]</f>
        <v>7226.2170186485037</v>
      </c>
    </row>
    <row r="143" spans="1:16" x14ac:dyDescent="0.3">
      <c r="A143" t="s">
        <v>173</v>
      </c>
      <c r="B143" t="s">
        <v>14</v>
      </c>
      <c r="C143" t="s">
        <v>30</v>
      </c>
      <c r="D143">
        <v>2220</v>
      </c>
      <c r="E143" t="s">
        <v>16</v>
      </c>
      <c r="F143" t="s">
        <v>22</v>
      </c>
      <c r="G143" t="s">
        <v>33</v>
      </c>
      <c r="H143" s="1">
        <v>45375</v>
      </c>
      <c r="I143">
        <v>133.18374382326499</v>
      </c>
      <c r="J143">
        <v>5</v>
      </c>
      <c r="K143">
        <v>665.91871911632597</v>
      </c>
      <c r="L143">
        <v>199.775615734898</v>
      </c>
      <c r="M143" t="s">
        <v>24</v>
      </c>
      <c r="N143">
        <f>Supermarket_Sales_Case_Study[[#This Row],[Sales_Amount]]-Supermarket_Sales_Case_Study[[#This Row],[Profit]]</f>
        <v>466.14310338142798</v>
      </c>
      <c r="O143" s="2">
        <f>(Supermarket_Sales_Case_Study[[#This Row],[Sales_Amount]]-Supermarket_Sales_Case_Study[[#This Row],[Purchase]])/Supermarket_Sales_Case_Study[[#This Row],[Sales_Amount]]</f>
        <v>0.30000000000000032</v>
      </c>
      <c r="P143">
        <f>Supermarket_Sales_Case_Study[[#This Row],[Quantity]]*Supermarket_Sales_Case_Study[[#This Row],[Sales_Amount]]</f>
        <v>3329.5935955816299</v>
      </c>
    </row>
    <row r="144" spans="1:16" x14ac:dyDescent="0.3">
      <c r="A144" t="s">
        <v>174</v>
      </c>
      <c r="B144" t="s">
        <v>39</v>
      </c>
      <c r="C144" t="s">
        <v>36</v>
      </c>
      <c r="D144">
        <v>1777</v>
      </c>
      <c r="E144" t="s">
        <v>26</v>
      </c>
      <c r="F144" t="s">
        <v>22</v>
      </c>
      <c r="G144" t="s">
        <v>37</v>
      </c>
      <c r="H144" s="1">
        <v>45354</v>
      </c>
      <c r="I144">
        <v>72.449870600940201</v>
      </c>
      <c r="J144">
        <v>5</v>
      </c>
      <c r="K144">
        <v>362.24935300470099</v>
      </c>
      <c r="L144">
        <v>108.67480590141</v>
      </c>
      <c r="M144" t="s">
        <v>24</v>
      </c>
      <c r="N144">
        <f>Supermarket_Sales_Case_Study[[#This Row],[Sales_Amount]]-Supermarket_Sales_Case_Study[[#This Row],[Profit]]</f>
        <v>253.574547103291</v>
      </c>
      <c r="O144" s="2">
        <f>(Supermarket_Sales_Case_Study[[#This Row],[Sales_Amount]]-Supermarket_Sales_Case_Study[[#This Row],[Purchase]])/Supermarket_Sales_Case_Study[[#This Row],[Sales_Amount]]</f>
        <v>0.29999999999999916</v>
      </c>
      <c r="P144">
        <f>Supermarket_Sales_Case_Study[[#This Row],[Quantity]]*Supermarket_Sales_Case_Study[[#This Row],[Sales_Amount]]</f>
        <v>1811.2467650235048</v>
      </c>
    </row>
    <row r="145" spans="1:16" x14ac:dyDescent="0.3">
      <c r="A145" t="s">
        <v>175</v>
      </c>
      <c r="B145" t="s">
        <v>39</v>
      </c>
      <c r="C145" t="s">
        <v>36</v>
      </c>
      <c r="D145">
        <v>1114</v>
      </c>
      <c r="E145" t="s">
        <v>26</v>
      </c>
      <c r="F145" t="s">
        <v>17</v>
      </c>
      <c r="G145" t="s">
        <v>37</v>
      </c>
      <c r="H145" s="1">
        <v>45358</v>
      </c>
      <c r="I145">
        <v>183.15777335414799</v>
      </c>
      <c r="J145">
        <v>2</v>
      </c>
      <c r="K145">
        <v>366.31554670829701</v>
      </c>
      <c r="L145">
        <v>109.894664012489</v>
      </c>
      <c r="M145" t="s">
        <v>24</v>
      </c>
      <c r="N145">
        <f>Supermarket_Sales_Case_Study[[#This Row],[Sales_Amount]]-Supermarket_Sales_Case_Study[[#This Row],[Profit]]</f>
        <v>256.42088269580802</v>
      </c>
      <c r="O145" s="2">
        <f>(Supermarket_Sales_Case_Study[[#This Row],[Sales_Amount]]-Supermarket_Sales_Case_Study[[#This Row],[Purchase]])/Supermarket_Sales_Case_Study[[#This Row],[Sales_Amount]]</f>
        <v>0.29999999999999971</v>
      </c>
      <c r="P145">
        <f>Supermarket_Sales_Case_Study[[#This Row],[Quantity]]*Supermarket_Sales_Case_Study[[#This Row],[Sales_Amount]]</f>
        <v>732.63109341659401</v>
      </c>
    </row>
    <row r="146" spans="1:16" x14ac:dyDescent="0.3">
      <c r="A146" t="s">
        <v>176</v>
      </c>
      <c r="B146" t="s">
        <v>21</v>
      </c>
      <c r="C146" t="s">
        <v>36</v>
      </c>
      <c r="D146">
        <v>2144</v>
      </c>
      <c r="E146" t="s">
        <v>26</v>
      </c>
      <c r="F146" t="s">
        <v>17</v>
      </c>
      <c r="G146" t="s">
        <v>33</v>
      </c>
      <c r="H146" s="1">
        <v>45343</v>
      </c>
      <c r="I146">
        <v>182.49293225655899</v>
      </c>
      <c r="J146">
        <v>8</v>
      </c>
      <c r="K146">
        <v>1459.9434580524701</v>
      </c>
      <c r="L146">
        <v>437.98303741574102</v>
      </c>
      <c r="M146" t="s">
        <v>19</v>
      </c>
      <c r="N146">
        <f>Supermarket_Sales_Case_Study[[#This Row],[Sales_Amount]]-Supermarket_Sales_Case_Study[[#This Row],[Profit]]</f>
        <v>1021.9604206367291</v>
      </c>
      <c r="O146" s="2">
        <f>(Supermarket_Sales_Case_Study[[#This Row],[Sales_Amount]]-Supermarket_Sales_Case_Study[[#This Row],[Purchase]])/Supermarket_Sales_Case_Study[[#This Row],[Sales_Amount]]</f>
        <v>0.3</v>
      </c>
      <c r="P146">
        <f>Supermarket_Sales_Case_Study[[#This Row],[Quantity]]*Supermarket_Sales_Case_Study[[#This Row],[Sales_Amount]]</f>
        <v>11679.547664419761</v>
      </c>
    </row>
    <row r="147" spans="1:16" x14ac:dyDescent="0.3">
      <c r="A147" t="s">
        <v>177</v>
      </c>
      <c r="B147" t="s">
        <v>14</v>
      </c>
      <c r="C147" t="s">
        <v>36</v>
      </c>
      <c r="D147">
        <v>1064</v>
      </c>
      <c r="E147" t="s">
        <v>16</v>
      </c>
      <c r="F147" t="s">
        <v>17</v>
      </c>
      <c r="G147" t="s">
        <v>33</v>
      </c>
      <c r="H147" s="1">
        <v>45359</v>
      </c>
      <c r="I147">
        <v>117.93811362931299</v>
      </c>
      <c r="J147">
        <v>2</v>
      </c>
      <c r="K147">
        <v>235.87622725862701</v>
      </c>
      <c r="L147">
        <v>70.762868177588103</v>
      </c>
      <c r="M147" t="s">
        <v>24</v>
      </c>
      <c r="N147">
        <f>Supermarket_Sales_Case_Study[[#This Row],[Sales_Amount]]-Supermarket_Sales_Case_Study[[#This Row],[Profit]]</f>
        <v>165.11335908103891</v>
      </c>
      <c r="O147" s="2">
        <f>(Supermarket_Sales_Case_Study[[#This Row],[Sales_Amount]]-Supermarket_Sales_Case_Study[[#This Row],[Purchase]])/Supermarket_Sales_Case_Study[[#This Row],[Sales_Amount]]</f>
        <v>0.3</v>
      </c>
      <c r="P147">
        <f>Supermarket_Sales_Case_Study[[#This Row],[Quantity]]*Supermarket_Sales_Case_Study[[#This Row],[Sales_Amount]]</f>
        <v>471.75245451725402</v>
      </c>
    </row>
    <row r="148" spans="1:16" x14ac:dyDescent="0.3">
      <c r="A148" t="s">
        <v>178</v>
      </c>
      <c r="B148" t="s">
        <v>14</v>
      </c>
      <c r="C148" t="s">
        <v>30</v>
      </c>
      <c r="D148">
        <v>2299</v>
      </c>
      <c r="E148" t="s">
        <v>16</v>
      </c>
      <c r="F148" t="s">
        <v>22</v>
      </c>
      <c r="G148" t="s">
        <v>18</v>
      </c>
      <c r="H148" s="1">
        <v>45317</v>
      </c>
      <c r="I148">
        <v>106.580112823565</v>
      </c>
      <c r="J148">
        <v>6</v>
      </c>
      <c r="K148">
        <v>639.48067694139297</v>
      </c>
      <c r="L148">
        <v>191.84420308241701</v>
      </c>
      <c r="M148" t="s">
        <v>19</v>
      </c>
      <c r="N148">
        <f>Supermarket_Sales_Case_Study[[#This Row],[Sales_Amount]]-Supermarket_Sales_Case_Study[[#This Row],[Profit]]</f>
        <v>447.63647385897593</v>
      </c>
      <c r="O148" s="2">
        <f>(Supermarket_Sales_Case_Study[[#This Row],[Sales_Amount]]-Supermarket_Sales_Case_Study[[#This Row],[Purchase]])/Supermarket_Sales_Case_Study[[#This Row],[Sales_Amount]]</f>
        <v>0.29999999999999866</v>
      </c>
      <c r="P148">
        <f>Supermarket_Sales_Case_Study[[#This Row],[Quantity]]*Supermarket_Sales_Case_Study[[#This Row],[Sales_Amount]]</f>
        <v>3836.8840616483576</v>
      </c>
    </row>
    <row r="149" spans="1:16" x14ac:dyDescent="0.3">
      <c r="A149" t="s">
        <v>179</v>
      </c>
      <c r="B149" t="s">
        <v>14</v>
      </c>
      <c r="C149" t="s">
        <v>15</v>
      </c>
      <c r="D149">
        <v>1824</v>
      </c>
      <c r="E149" t="s">
        <v>26</v>
      </c>
      <c r="F149" t="s">
        <v>17</v>
      </c>
      <c r="G149" t="s">
        <v>33</v>
      </c>
      <c r="H149" s="1">
        <v>45366</v>
      </c>
      <c r="I149">
        <v>266.63964937237</v>
      </c>
      <c r="J149">
        <v>8</v>
      </c>
      <c r="K149">
        <v>2133.11719497896</v>
      </c>
      <c r="L149">
        <v>639.93515849368896</v>
      </c>
      <c r="M149" t="s">
        <v>34</v>
      </c>
      <c r="N149">
        <f>Supermarket_Sales_Case_Study[[#This Row],[Sales_Amount]]-Supermarket_Sales_Case_Study[[#This Row],[Profit]]</f>
        <v>1493.1820364852711</v>
      </c>
      <c r="O149" s="2">
        <f>(Supermarket_Sales_Case_Study[[#This Row],[Sales_Amount]]-Supermarket_Sales_Case_Study[[#This Row],[Purchase]])/Supermarket_Sales_Case_Study[[#This Row],[Sales_Amount]]</f>
        <v>0.30000000000000043</v>
      </c>
      <c r="P149">
        <f>Supermarket_Sales_Case_Study[[#This Row],[Quantity]]*Supermarket_Sales_Case_Study[[#This Row],[Sales_Amount]]</f>
        <v>17064.93755983168</v>
      </c>
    </row>
    <row r="150" spans="1:16" x14ac:dyDescent="0.3">
      <c r="A150" t="s">
        <v>180</v>
      </c>
      <c r="B150" t="s">
        <v>21</v>
      </c>
      <c r="C150" t="s">
        <v>36</v>
      </c>
      <c r="D150">
        <v>1238</v>
      </c>
      <c r="E150" t="s">
        <v>16</v>
      </c>
      <c r="F150" t="s">
        <v>22</v>
      </c>
      <c r="G150" t="s">
        <v>18</v>
      </c>
      <c r="H150" s="1">
        <v>45293</v>
      </c>
      <c r="I150">
        <v>121.152429496238</v>
      </c>
      <c r="J150">
        <v>6</v>
      </c>
      <c r="K150">
        <v>726.91457697742999</v>
      </c>
      <c r="L150">
        <v>218.07437309322901</v>
      </c>
      <c r="M150" t="s">
        <v>34</v>
      </c>
      <c r="N150">
        <f>Supermarket_Sales_Case_Study[[#This Row],[Sales_Amount]]-Supermarket_Sales_Case_Study[[#This Row],[Profit]]</f>
        <v>508.84020388420095</v>
      </c>
      <c r="O150" s="2">
        <f>(Supermarket_Sales_Case_Study[[#This Row],[Sales_Amount]]-Supermarket_Sales_Case_Study[[#This Row],[Purchase]])/Supermarket_Sales_Case_Study[[#This Row],[Sales_Amount]]</f>
        <v>0.30000000000000004</v>
      </c>
      <c r="P150">
        <f>Supermarket_Sales_Case_Study[[#This Row],[Quantity]]*Supermarket_Sales_Case_Study[[#This Row],[Sales_Amount]]</f>
        <v>4361.4874618645799</v>
      </c>
    </row>
    <row r="151" spans="1:16" x14ac:dyDescent="0.3">
      <c r="A151" t="s">
        <v>181</v>
      </c>
      <c r="B151" t="s">
        <v>21</v>
      </c>
      <c r="C151" t="s">
        <v>30</v>
      </c>
      <c r="D151">
        <v>1301</v>
      </c>
      <c r="E151" t="s">
        <v>26</v>
      </c>
      <c r="F151" t="s">
        <v>17</v>
      </c>
      <c r="G151" t="s">
        <v>37</v>
      </c>
      <c r="H151" s="1">
        <v>45305</v>
      </c>
      <c r="I151">
        <v>153.115287724778</v>
      </c>
      <c r="J151">
        <v>4</v>
      </c>
      <c r="K151">
        <v>612.46115089911302</v>
      </c>
      <c r="L151">
        <v>183.738345269734</v>
      </c>
      <c r="M151" t="s">
        <v>24</v>
      </c>
      <c r="N151">
        <f>Supermarket_Sales_Case_Study[[#This Row],[Sales_Amount]]-Supermarket_Sales_Case_Study[[#This Row],[Profit]]</f>
        <v>428.72280562937902</v>
      </c>
      <c r="O151" s="2">
        <f>(Supermarket_Sales_Case_Study[[#This Row],[Sales_Amount]]-Supermarket_Sales_Case_Study[[#This Row],[Purchase]])/Supermarket_Sales_Case_Study[[#This Row],[Sales_Amount]]</f>
        <v>0.30000000000000016</v>
      </c>
      <c r="P151">
        <f>Supermarket_Sales_Case_Study[[#This Row],[Quantity]]*Supermarket_Sales_Case_Study[[#This Row],[Sales_Amount]]</f>
        <v>2449.8446035964521</v>
      </c>
    </row>
    <row r="152" spans="1:16" x14ac:dyDescent="0.3">
      <c r="A152" t="s">
        <v>182</v>
      </c>
      <c r="B152" t="s">
        <v>39</v>
      </c>
      <c r="C152" t="s">
        <v>36</v>
      </c>
      <c r="D152">
        <v>2415</v>
      </c>
      <c r="E152" t="s">
        <v>26</v>
      </c>
      <c r="F152" t="s">
        <v>17</v>
      </c>
      <c r="G152" t="s">
        <v>33</v>
      </c>
      <c r="H152" s="1">
        <v>45321</v>
      </c>
      <c r="I152">
        <v>92.1583811032298</v>
      </c>
      <c r="J152">
        <v>4</v>
      </c>
      <c r="K152">
        <v>368.63352441291897</v>
      </c>
      <c r="L152">
        <v>110.590057323875</v>
      </c>
      <c r="M152" t="s">
        <v>34</v>
      </c>
      <c r="N152">
        <f>Supermarket_Sales_Case_Study[[#This Row],[Sales_Amount]]-Supermarket_Sales_Case_Study[[#This Row],[Profit]]</f>
        <v>258.04346708904399</v>
      </c>
      <c r="O152" s="2">
        <f>(Supermarket_Sales_Case_Study[[#This Row],[Sales_Amount]]-Supermarket_Sales_Case_Study[[#This Row],[Purchase]])/Supermarket_Sales_Case_Study[[#This Row],[Sales_Amount]]</f>
        <v>0.2999999999999981</v>
      </c>
      <c r="P152">
        <f>Supermarket_Sales_Case_Study[[#This Row],[Quantity]]*Supermarket_Sales_Case_Study[[#This Row],[Sales_Amount]]</f>
        <v>1474.5340976516759</v>
      </c>
    </row>
    <row r="153" spans="1:16" x14ac:dyDescent="0.3">
      <c r="A153" t="s">
        <v>183</v>
      </c>
      <c r="B153" t="s">
        <v>21</v>
      </c>
      <c r="C153" t="s">
        <v>36</v>
      </c>
      <c r="D153">
        <v>1968</v>
      </c>
      <c r="E153" t="s">
        <v>16</v>
      </c>
      <c r="F153" t="s">
        <v>22</v>
      </c>
      <c r="G153" t="s">
        <v>28</v>
      </c>
      <c r="H153" s="1">
        <v>45340</v>
      </c>
      <c r="I153">
        <v>238.16315597356601</v>
      </c>
      <c r="J153">
        <v>6</v>
      </c>
      <c r="K153">
        <v>1428.9789358414</v>
      </c>
      <c r="L153">
        <v>428.69368075241999</v>
      </c>
      <c r="M153" t="s">
        <v>24</v>
      </c>
      <c r="N153">
        <f>Supermarket_Sales_Case_Study[[#This Row],[Sales_Amount]]-Supermarket_Sales_Case_Study[[#This Row],[Profit]]</f>
        <v>1000.28525508898</v>
      </c>
      <c r="O153" s="2">
        <f>(Supermarket_Sales_Case_Study[[#This Row],[Sales_Amount]]-Supermarket_Sales_Case_Study[[#This Row],[Purchase]])/Supermarket_Sales_Case_Study[[#This Row],[Sales_Amount]]</f>
        <v>0.30000000000000004</v>
      </c>
      <c r="P153">
        <f>Supermarket_Sales_Case_Study[[#This Row],[Quantity]]*Supermarket_Sales_Case_Study[[#This Row],[Sales_Amount]]</f>
        <v>8573.8736150484001</v>
      </c>
    </row>
    <row r="154" spans="1:16" x14ac:dyDescent="0.3">
      <c r="A154" t="s">
        <v>184</v>
      </c>
      <c r="B154" t="s">
        <v>14</v>
      </c>
      <c r="C154" t="s">
        <v>30</v>
      </c>
      <c r="D154">
        <v>1368</v>
      </c>
      <c r="E154" t="s">
        <v>16</v>
      </c>
      <c r="F154" t="s">
        <v>22</v>
      </c>
      <c r="G154" t="s">
        <v>28</v>
      </c>
      <c r="H154" s="1">
        <v>45303</v>
      </c>
      <c r="I154">
        <v>125.259965500736</v>
      </c>
      <c r="J154">
        <v>4</v>
      </c>
      <c r="K154">
        <v>501.03986200294599</v>
      </c>
      <c r="L154">
        <v>150.311958600883</v>
      </c>
      <c r="M154" t="s">
        <v>19</v>
      </c>
      <c r="N154">
        <f>Supermarket_Sales_Case_Study[[#This Row],[Sales_Amount]]-Supermarket_Sales_Case_Study[[#This Row],[Profit]]</f>
        <v>350.72790340206302</v>
      </c>
      <c r="O154" s="2">
        <f>(Supermarket_Sales_Case_Study[[#This Row],[Sales_Amount]]-Supermarket_Sales_Case_Study[[#This Row],[Purchase]])/Supermarket_Sales_Case_Study[[#This Row],[Sales_Amount]]</f>
        <v>0.29999999999999838</v>
      </c>
      <c r="P154">
        <f>Supermarket_Sales_Case_Study[[#This Row],[Quantity]]*Supermarket_Sales_Case_Study[[#This Row],[Sales_Amount]]</f>
        <v>2004.159448011784</v>
      </c>
    </row>
    <row r="155" spans="1:16" x14ac:dyDescent="0.3">
      <c r="A155" t="s">
        <v>185</v>
      </c>
      <c r="B155" t="s">
        <v>14</v>
      </c>
      <c r="C155" t="s">
        <v>15</v>
      </c>
      <c r="D155">
        <v>1232</v>
      </c>
      <c r="E155" t="s">
        <v>16</v>
      </c>
      <c r="F155" t="s">
        <v>22</v>
      </c>
      <c r="G155" t="s">
        <v>37</v>
      </c>
      <c r="H155" s="1">
        <v>45381</v>
      </c>
      <c r="I155">
        <v>158.94720349785399</v>
      </c>
      <c r="J155">
        <v>8</v>
      </c>
      <c r="K155">
        <v>1271.5776279828301</v>
      </c>
      <c r="L155">
        <v>381.47328839484902</v>
      </c>
      <c r="M155" t="s">
        <v>34</v>
      </c>
      <c r="N155">
        <f>Supermarket_Sales_Case_Study[[#This Row],[Sales_Amount]]-Supermarket_Sales_Case_Study[[#This Row],[Profit]]</f>
        <v>890.10433958798103</v>
      </c>
      <c r="O155" s="2">
        <f>(Supermarket_Sales_Case_Study[[#This Row],[Sales_Amount]]-Supermarket_Sales_Case_Study[[#This Row],[Purchase]])/Supermarket_Sales_Case_Study[[#This Row],[Sales_Amount]]</f>
        <v>0.30000000000000004</v>
      </c>
      <c r="P155">
        <f>Supermarket_Sales_Case_Study[[#This Row],[Quantity]]*Supermarket_Sales_Case_Study[[#This Row],[Sales_Amount]]</f>
        <v>10172.621023862641</v>
      </c>
    </row>
    <row r="156" spans="1:16" x14ac:dyDescent="0.3">
      <c r="A156" t="s">
        <v>186</v>
      </c>
      <c r="B156" t="s">
        <v>21</v>
      </c>
      <c r="C156" t="s">
        <v>15</v>
      </c>
      <c r="D156">
        <v>1194</v>
      </c>
      <c r="E156" t="s">
        <v>16</v>
      </c>
      <c r="F156" t="s">
        <v>22</v>
      </c>
      <c r="G156" t="s">
        <v>18</v>
      </c>
      <c r="H156" s="1">
        <v>45335</v>
      </c>
      <c r="I156">
        <v>83.473579317301798</v>
      </c>
      <c r="J156">
        <v>9</v>
      </c>
      <c r="K156">
        <v>751.26221385571603</v>
      </c>
      <c r="L156">
        <v>225.378664156714</v>
      </c>
      <c r="M156" t="s">
        <v>24</v>
      </c>
      <c r="N156">
        <f>Supermarket_Sales_Case_Study[[#This Row],[Sales_Amount]]-Supermarket_Sales_Case_Study[[#This Row],[Profit]]</f>
        <v>525.88354969900206</v>
      </c>
      <c r="O156" s="2">
        <f>(Supermarket_Sales_Case_Study[[#This Row],[Sales_Amount]]-Supermarket_Sales_Case_Study[[#This Row],[Purchase]])/Supermarket_Sales_Case_Study[[#This Row],[Sales_Amount]]</f>
        <v>0.29999999999999888</v>
      </c>
      <c r="P156">
        <f>Supermarket_Sales_Case_Study[[#This Row],[Quantity]]*Supermarket_Sales_Case_Study[[#This Row],[Sales_Amount]]</f>
        <v>6761.3599247014445</v>
      </c>
    </row>
    <row r="157" spans="1:16" x14ac:dyDescent="0.3">
      <c r="A157" t="s">
        <v>187</v>
      </c>
      <c r="B157" t="s">
        <v>14</v>
      </c>
      <c r="C157" t="s">
        <v>30</v>
      </c>
      <c r="D157">
        <v>1906</v>
      </c>
      <c r="E157" t="s">
        <v>26</v>
      </c>
      <c r="F157" t="s">
        <v>22</v>
      </c>
      <c r="G157" t="s">
        <v>28</v>
      </c>
      <c r="H157" s="1">
        <v>45324</v>
      </c>
      <c r="I157">
        <v>296.42128177896302</v>
      </c>
      <c r="J157">
        <v>1</v>
      </c>
      <c r="K157">
        <v>296.42128177896302</v>
      </c>
      <c r="L157">
        <v>88.926384533688903</v>
      </c>
      <c r="M157" t="s">
        <v>34</v>
      </c>
      <c r="N157">
        <f>Supermarket_Sales_Case_Study[[#This Row],[Sales_Amount]]-Supermarket_Sales_Case_Study[[#This Row],[Profit]]</f>
        <v>207.4948972452741</v>
      </c>
      <c r="O157" s="2">
        <f>(Supermarket_Sales_Case_Study[[#This Row],[Sales_Amount]]-Supermarket_Sales_Case_Study[[#This Row],[Purchase]])/Supermarket_Sales_Case_Study[[#This Row],[Sales_Amount]]</f>
        <v>0.30000000000000004</v>
      </c>
      <c r="P157">
        <f>Supermarket_Sales_Case_Study[[#This Row],[Quantity]]*Supermarket_Sales_Case_Study[[#This Row],[Sales_Amount]]</f>
        <v>296.42128177896302</v>
      </c>
    </row>
    <row r="158" spans="1:16" x14ac:dyDescent="0.3">
      <c r="A158" t="s">
        <v>188</v>
      </c>
      <c r="B158" t="s">
        <v>14</v>
      </c>
      <c r="C158" t="s">
        <v>15</v>
      </c>
      <c r="D158">
        <v>2035</v>
      </c>
      <c r="E158" t="s">
        <v>26</v>
      </c>
      <c r="F158" t="s">
        <v>22</v>
      </c>
      <c r="G158" t="s">
        <v>18</v>
      </c>
      <c r="H158" s="1">
        <v>45304</v>
      </c>
      <c r="I158">
        <v>94.533764867879597</v>
      </c>
      <c r="J158">
        <v>4</v>
      </c>
      <c r="K158">
        <v>378.13505947151799</v>
      </c>
      <c r="L158">
        <v>113.44051784145501</v>
      </c>
      <c r="M158" t="s">
        <v>34</v>
      </c>
      <c r="N158">
        <f>Supermarket_Sales_Case_Study[[#This Row],[Sales_Amount]]-Supermarket_Sales_Case_Study[[#This Row],[Profit]]</f>
        <v>264.69454163006299</v>
      </c>
      <c r="O158" s="2">
        <f>(Supermarket_Sales_Case_Study[[#This Row],[Sales_Amount]]-Supermarket_Sales_Case_Study[[#This Row],[Purchase]])/Supermarket_Sales_Case_Study[[#This Row],[Sales_Amount]]</f>
        <v>0.29999999999999899</v>
      </c>
      <c r="P158">
        <f>Supermarket_Sales_Case_Study[[#This Row],[Quantity]]*Supermarket_Sales_Case_Study[[#This Row],[Sales_Amount]]</f>
        <v>1512.540237886072</v>
      </c>
    </row>
    <row r="159" spans="1:16" x14ac:dyDescent="0.3">
      <c r="A159" t="s">
        <v>189</v>
      </c>
      <c r="B159" t="s">
        <v>21</v>
      </c>
      <c r="C159" t="s">
        <v>30</v>
      </c>
      <c r="D159">
        <v>1920</v>
      </c>
      <c r="E159" t="s">
        <v>26</v>
      </c>
      <c r="F159" t="s">
        <v>22</v>
      </c>
      <c r="G159" t="s">
        <v>28</v>
      </c>
      <c r="H159" s="1">
        <v>45369</v>
      </c>
      <c r="I159">
        <v>233.51533396260999</v>
      </c>
      <c r="J159">
        <v>4</v>
      </c>
      <c r="K159">
        <v>934.06133585043995</v>
      </c>
      <c r="L159">
        <v>280.218400755132</v>
      </c>
      <c r="M159" t="s">
        <v>24</v>
      </c>
      <c r="N159">
        <f>Supermarket_Sales_Case_Study[[#This Row],[Sales_Amount]]-Supermarket_Sales_Case_Study[[#This Row],[Profit]]</f>
        <v>653.84293509530789</v>
      </c>
      <c r="O159" s="2">
        <f>(Supermarket_Sales_Case_Study[[#This Row],[Sales_Amount]]-Supermarket_Sales_Case_Study[[#This Row],[Purchase]])/Supermarket_Sales_Case_Study[[#This Row],[Sales_Amount]]</f>
        <v>0.3000000000000001</v>
      </c>
      <c r="P159">
        <f>Supermarket_Sales_Case_Study[[#This Row],[Quantity]]*Supermarket_Sales_Case_Study[[#This Row],[Sales_Amount]]</f>
        <v>3736.2453434017598</v>
      </c>
    </row>
    <row r="160" spans="1:16" x14ac:dyDescent="0.3">
      <c r="A160" t="s">
        <v>190</v>
      </c>
      <c r="B160" t="s">
        <v>21</v>
      </c>
      <c r="C160" t="s">
        <v>30</v>
      </c>
      <c r="D160">
        <v>1688</v>
      </c>
      <c r="E160" t="s">
        <v>26</v>
      </c>
      <c r="F160" t="s">
        <v>22</v>
      </c>
      <c r="G160" t="s">
        <v>28</v>
      </c>
      <c r="H160" s="1">
        <v>45379</v>
      </c>
      <c r="I160">
        <v>133.97373860345999</v>
      </c>
      <c r="J160">
        <v>2</v>
      </c>
      <c r="K160">
        <v>267.94747720691998</v>
      </c>
      <c r="L160">
        <v>80.384243162076004</v>
      </c>
      <c r="M160" t="s">
        <v>34</v>
      </c>
      <c r="N160">
        <f>Supermarket_Sales_Case_Study[[#This Row],[Sales_Amount]]-Supermarket_Sales_Case_Study[[#This Row],[Profit]]</f>
        <v>187.56323404484397</v>
      </c>
      <c r="O160" s="2">
        <f>(Supermarket_Sales_Case_Study[[#This Row],[Sales_Amount]]-Supermarket_Sales_Case_Study[[#This Row],[Purchase]])/Supermarket_Sales_Case_Study[[#This Row],[Sales_Amount]]</f>
        <v>0.3000000000000001</v>
      </c>
      <c r="P160">
        <f>Supermarket_Sales_Case_Study[[#This Row],[Quantity]]*Supermarket_Sales_Case_Study[[#This Row],[Sales_Amount]]</f>
        <v>535.89495441383997</v>
      </c>
    </row>
    <row r="161" spans="1:16" x14ac:dyDescent="0.3">
      <c r="A161" t="s">
        <v>191</v>
      </c>
      <c r="B161" t="s">
        <v>14</v>
      </c>
      <c r="C161" t="s">
        <v>30</v>
      </c>
      <c r="D161">
        <v>1176</v>
      </c>
      <c r="E161" t="s">
        <v>26</v>
      </c>
      <c r="F161" t="s">
        <v>17</v>
      </c>
      <c r="G161" t="s">
        <v>18</v>
      </c>
      <c r="H161" s="1">
        <v>45317</v>
      </c>
      <c r="I161">
        <v>69.803047474400501</v>
      </c>
      <c r="J161">
        <v>6</v>
      </c>
      <c r="K161">
        <v>418.818284846403</v>
      </c>
      <c r="L161">
        <v>125.645485453921</v>
      </c>
      <c r="M161" t="s">
        <v>34</v>
      </c>
      <c r="N161">
        <f>Supermarket_Sales_Case_Study[[#This Row],[Sales_Amount]]-Supermarket_Sales_Case_Study[[#This Row],[Profit]]</f>
        <v>293.17279939248203</v>
      </c>
      <c r="O161" s="2">
        <f>(Supermarket_Sales_Case_Study[[#This Row],[Sales_Amount]]-Supermarket_Sales_Case_Study[[#This Row],[Purchase]])/Supermarket_Sales_Case_Study[[#This Row],[Sales_Amount]]</f>
        <v>0.30000000000000016</v>
      </c>
      <c r="P161">
        <f>Supermarket_Sales_Case_Study[[#This Row],[Quantity]]*Supermarket_Sales_Case_Study[[#This Row],[Sales_Amount]]</f>
        <v>2512.909709078418</v>
      </c>
    </row>
    <row r="162" spans="1:16" x14ac:dyDescent="0.3">
      <c r="A162" t="s">
        <v>192</v>
      </c>
      <c r="B162" t="s">
        <v>14</v>
      </c>
      <c r="C162" t="s">
        <v>15</v>
      </c>
      <c r="D162">
        <v>1216</v>
      </c>
      <c r="E162" t="s">
        <v>16</v>
      </c>
      <c r="F162" t="s">
        <v>22</v>
      </c>
      <c r="G162" t="s">
        <v>23</v>
      </c>
      <c r="H162" s="1">
        <v>45312</v>
      </c>
      <c r="I162">
        <v>241.91844154980899</v>
      </c>
      <c r="J162">
        <v>3</v>
      </c>
      <c r="K162">
        <v>725.75532464942899</v>
      </c>
      <c r="L162">
        <v>217.72659739482799</v>
      </c>
      <c r="M162" t="s">
        <v>34</v>
      </c>
      <c r="N162">
        <f>Supermarket_Sales_Case_Study[[#This Row],[Sales_Amount]]-Supermarket_Sales_Case_Study[[#This Row],[Profit]]</f>
        <v>508.02872725460099</v>
      </c>
      <c r="O162" s="2">
        <f>(Supermarket_Sales_Case_Study[[#This Row],[Sales_Amount]]-Supermarket_Sales_Case_Study[[#This Row],[Purchase]])/Supermarket_Sales_Case_Study[[#This Row],[Sales_Amount]]</f>
        <v>0.29999999999999905</v>
      </c>
      <c r="P162">
        <f>Supermarket_Sales_Case_Study[[#This Row],[Quantity]]*Supermarket_Sales_Case_Study[[#This Row],[Sales_Amount]]</f>
        <v>2177.265973948287</v>
      </c>
    </row>
    <row r="163" spans="1:16" x14ac:dyDescent="0.3">
      <c r="A163" t="s">
        <v>193</v>
      </c>
      <c r="B163" t="s">
        <v>14</v>
      </c>
      <c r="C163" t="s">
        <v>30</v>
      </c>
      <c r="D163">
        <v>2034</v>
      </c>
      <c r="E163" t="s">
        <v>26</v>
      </c>
      <c r="F163" t="s">
        <v>22</v>
      </c>
      <c r="G163" t="s">
        <v>28</v>
      </c>
      <c r="H163" s="1">
        <v>45319</v>
      </c>
      <c r="I163">
        <v>106.745968818422</v>
      </c>
      <c r="J163">
        <v>7</v>
      </c>
      <c r="K163">
        <v>747.22178172895701</v>
      </c>
      <c r="L163">
        <v>224.166534518687</v>
      </c>
      <c r="M163" t="s">
        <v>34</v>
      </c>
      <c r="N163">
        <f>Supermarket_Sales_Case_Study[[#This Row],[Sales_Amount]]-Supermarket_Sales_Case_Study[[#This Row],[Profit]]</f>
        <v>523.05524721026995</v>
      </c>
      <c r="O163" s="2">
        <f>(Supermarket_Sales_Case_Study[[#This Row],[Sales_Amount]]-Supermarket_Sales_Case_Study[[#This Row],[Purchase]])/Supermarket_Sales_Case_Study[[#This Row],[Sales_Amount]]</f>
        <v>0.29999999999999993</v>
      </c>
      <c r="P163">
        <f>Supermarket_Sales_Case_Study[[#This Row],[Quantity]]*Supermarket_Sales_Case_Study[[#This Row],[Sales_Amount]]</f>
        <v>5230.5524721026995</v>
      </c>
    </row>
    <row r="164" spans="1:16" x14ac:dyDescent="0.3">
      <c r="A164" t="s">
        <v>194</v>
      </c>
      <c r="B164" t="s">
        <v>39</v>
      </c>
      <c r="C164" t="s">
        <v>36</v>
      </c>
      <c r="D164">
        <v>2469</v>
      </c>
      <c r="E164" t="s">
        <v>26</v>
      </c>
      <c r="F164" t="s">
        <v>17</v>
      </c>
      <c r="G164" t="s">
        <v>33</v>
      </c>
      <c r="H164" s="1">
        <v>45339</v>
      </c>
      <c r="I164">
        <v>260.90607074536501</v>
      </c>
      <c r="J164">
        <v>5</v>
      </c>
      <c r="K164">
        <v>1304.5303537268201</v>
      </c>
      <c r="L164">
        <v>391.35910611804701</v>
      </c>
      <c r="M164" t="s">
        <v>19</v>
      </c>
      <c r="N164">
        <f>Supermarket_Sales_Case_Study[[#This Row],[Sales_Amount]]-Supermarket_Sales_Case_Study[[#This Row],[Profit]]</f>
        <v>913.171247608773</v>
      </c>
      <c r="O164" s="2">
        <f>(Supermarket_Sales_Case_Study[[#This Row],[Sales_Amount]]-Supermarket_Sales_Case_Study[[#This Row],[Purchase]])/Supermarket_Sales_Case_Study[[#This Row],[Sales_Amount]]</f>
        <v>0.30000000000000082</v>
      </c>
      <c r="P164">
        <f>Supermarket_Sales_Case_Study[[#This Row],[Quantity]]*Supermarket_Sales_Case_Study[[#This Row],[Sales_Amount]]</f>
        <v>6522.6517686341003</v>
      </c>
    </row>
    <row r="165" spans="1:16" x14ac:dyDescent="0.3">
      <c r="A165" t="s">
        <v>195</v>
      </c>
      <c r="B165" t="s">
        <v>39</v>
      </c>
      <c r="C165" t="s">
        <v>15</v>
      </c>
      <c r="D165">
        <v>1629</v>
      </c>
      <c r="E165" t="s">
        <v>26</v>
      </c>
      <c r="F165" t="s">
        <v>22</v>
      </c>
      <c r="G165" t="s">
        <v>37</v>
      </c>
      <c r="H165" s="1">
        <v>45331</v>
      </c>
      <c r="I165">
        <v>275.42458362616799</v>
      </c>
      <c r="J165">
        <v>4</v>
      </c>
      <c r="K165">
        <v>1101.6983345046699</v>
      </c>
      <c r="L165">
        <v>330.50950035140198</v>
      </c>
      <c r="M165" t="s">
        <v>34</v>
      </c>
      <c r="N165">
        <f>Supermarket_Sales_Case_Study[[#This Row],[Sales_Amount]]-Supermarket_Sales_Case_Study[[#This Row],[Profit]]</f>
        <v>771.18883415326786</v>
      </c>
      <c r="O165" s="2">
        <f>(Supermarket_Sales_Case_Study[[#This Row],[Sales_Amount]]-Supermarket_Sales_Case_Study[[#This Row],[Purchase]])/Supermarket_Sales_Case_Study[[#This Row],[Sales_Amount]]</f>
        <v>0.30000000000000099</v>
      </c>
      <c r="P165">
        <f>Supermarket_Sales_Case_Study[[#This Row],[Quantity]]*Supermarket_Sales_Case_Study[[#This Row],[Sales_Amount]]</f>
        <v>4406.7933380186796</v>
      </c>
    </row>
    <row r="166" spans="1:16" x14ac:dyDescent="0.3">
      <c r="A166" t="s">
        <v>196</v>
      </c>
      <c r="B166" t="s">
        <v>39</v>
      </c>
      <c r="C166" t="s">
        <v>15</v>
      </c>
      <c r="D166">
        <v>1163</v>
      </c>
      <c r="E166" t="s">
        <v>16</v>
      </c>
      <c r="F166" t="s">
        <v>17</v>
      </c>
      <c r="G166" t="s">
        <v>23</v>
      </c>
      <c r="H166" s="1">
        <v>45357</v>
      </c>
      <c r="I166">
        <v>259.34891226347003</v>
      </c>
      <c r="J166">
        <v>5</v>
      </c>
      <c r="K166">
        <v>1296.74456131735</v>
      </c>
      <c r="L166">
        <v>389.02336839520501</v>
      </c>
      <c r="M166" t="s">
        <v>34</v>
      </c>
      <c r="N166">
        <f>Supermarket_Sales_Case_Study[[#This Row],[Sales_Amount]]-Supermarket_Sales_Case_Study[[#This Row],[Profit]]</f>
        <v>907.72119292214495</v>
      </c>
      <c r="O166" s="2">
        <f>(Supermarket_Sales_Case_Study[[#This Row],[Sales_Amount]]-Supermarket_Sales_Case_Study[[#This Row],[Purchase]])/Supermarket_Sales_Case_Study[[#This Row],[Sales_Amount]]</f>
        <v>0.30000000000000004</v>
      </c>
      <c r="P166">
        <f>Supermarket_Sales_Case_Study[[#This Row],[Quantity]]*Supermarket_Sales_Case_Study[[#This Row],[Sales_Amount]]</f>
        <v>6483.7228065867494</v>
      </c>
    </row>
    <row r="167" spans="1:16" x14ac:dyDescent="0.3">
      <c r="A167" t="s">
        <v>197</v>
      </c>
      <c r="B167" t="s">
        <v>21</v>
      </c>
      <c r="C167" t="s">
        <v>15</v>
      </c>
      <c r="D167">
        <v>1052</v>
      </c>
      <c r="E167" t="s">
        <v>16</v>
      </c>
      <c r="F167" t="s">
        <v>17</v>
      </c>
      <c r="G167" t="s">
        <v>18</v>
      </c>
      <c r="H167" s="1">
        <v>45364</v>
      </c>
      <c r="I167">
        <v>20.152295293973602</v>
      </c>
      <c r="J167">
        <v>8</v>
      </c>
      <c r="K167">
        <v>161.21836235178901</v>
      </c>
      <c r="L167">
        <v>48.365508705536698</v>
      </c>
      <c r="M167" t="s">
        <v>24</v>
      </c>
      <c r="N167">
        <f>Supermarket_Sales_Case_Study[[#This Row],[Sales_Amount]]-Supermarket_Sales_Case_Study[[#This Row],[Profit]]</f>
        <v>112.85285364625231</v>
      </c>
      <c r="O167" s="2">
        <f>(Supermarket_Sales_Case_Study[[#This Row],[Sales_Amount]]-Supermarket_Sales_Case_Study[[#This Row],[Purchase]])/Supermarket_Sales_Case_Study[[#This Row],[Sales_Amount]]</f>
        <v>0.3</v>
      </c>
      <c r="P167">
        <f>Supermarket_Sales_Case_Study[[#This Row],[Quantity]]*Supermarket_Sales_Case_Study[[#This Row],[Sales_Amount]]</f>
        <v>1289.7468988143121</v>
      </c>
    </row>
    <row r="168" spans="1:16" x14ac:dyDescent="0.3">
      <c r="A168" t="s">
        <v>198</v>
      </c>
      <c r="B168" t="s">
        <v>39</v>
      </c>
      <c r="C168" t="s">
        <v>15</v>
      </c>
      <c r="D168">
        <v>1217</v>
      </c>
      <c r="E168" t="s">
        <v>16</v>
      </c>
      <c r="F168" t="s">
        <v>22</v>
      </c>
      <c r="G168" t="s">
        <v>23</v>
      </c>
      <c r="H168" s="1">
        <v>45378</v>
      </c>
      <c r="I168">
        <v>238.33827005148001</v>
      </c>
      <c r="J168">
        <v>3</v>
      </c>
      <c r="K168">
        <v>715.01481015444097</v>
      </c>
      <c r="L168">
        <v>214.504443046332</v>
      </c>
      <c r="M168" t="s">
        <v>19</v>
      </c>
      <c r="N168">
        <f>Supermarket_Sales_Case_Study[[#This Row],[Sales_Amount]]-Supermarket_Sales_Case_Study[[#This Row],[Profit]]</f>
        <v>500.51036710810899</v>
      </c>
      <c r="O168" s="2">
        <f>(Supermarket_Sales_Case_Study[[#This Row],[Sales_Amount]]-Supermarket_Sales_Case_Study[[#This Row],[Purchase]])/Supermarket_Sales_Case_Study[[#This Row],[Sales_Amount]]</f>
        <v>0.29999999999999954</v>
      </c>
      <c r="P168">
        <f>Supermarket_Sales_Case_Study[[#This Row],[Quantity]]*Supermarket_Sales_Case_Study[[#This Row],[Sales_Amount]]</f>
        <v>2145.0444304633229</v>
      </c>
    </row>
    <row r="169" spans="1:16" x14ac:dyDescent="0.3">
      <c r="A169" t="s">
        <v>199</v>
      </c>
      <c r="B169" t="s">
        <v>21</v>
      </c>
      <c r="C169" t="s">
        <v>36</v>
      </c>
      <c r="D169">
        <v>1998</v>
      </c>
      <c r="E169" t="s">
        <v>16</v>
      </c>
      <c r="F169" t="s">
        <v>17</v>
      </c>
      <c r="G169" t="s">
        <v>31</v>
      </c>
      <c r="H169" s="1">
        <v>45370</v>
      </c>
      <c r="I169">
        <v>129.28844528475099</v>
      </c>
      <c r="J169">
        <v>7</v>
      </c>
      <c r="K169">
        <v>905.01911699326195</v>
      </c>
      <c r="L169">
        <v>271.505735097978</v>
      </c>
      <c r="M169" t="s">
        <v>24</v>
      </c>
      <c r="N169">
        <f>Supermarket_Sales_Case_Study[[#This Row],[Sales_Amount]]-Supermarket_Sales_Case_Study[[#This Row],[Profit]]</f>
        <v>633.51338189528394</v>
      </c>
      <c r="O169" s="2">
        <f>(Supermarket_Sales_Case_Study[[#This Row],[Sales_Amount]]-Supermarket_Sales_Case_Study[[#This Row],[Purchase]])/Supermarket_Sales_Case_Study[[#This Row],[Sales_Amount]]</f>
        <v>0.29999999999999938</v>
      </c>
      <c r="P169">
        <f>Supermarket_Sales_Case_Study[[#This Row],[Quantity]]*Supermarket_Sales_Case_Study[[#This Row],[Sales_Amount]]</f>
        <v>6335.1338189528333</v>
      </c>
    </row>
    <row r="170" spans="1:16" x14ac:dyDescent="0.3">
      <c r="A170" t="s">
        <v>200</v>
      </c>
      <c r="B170" t="s">
        <v>21</v>
      </c>
      <c r="C170" t="s">
        <v>15</v>
      </c>
      <c r="D170">
        <v>1823</v>
      </c>
      <c r="E170" t="s">
        <v>26</v>
      </c>
      <c r="F170" t="s">
        <v>22</v>
      </c>
      <c r="G170" t="s">
        <v>31</v>
      </c>
      <c r="H170" s="1">
        <v>45368</v>
      </c>
      <c r="I170">
        <v>263.37964685284499</v>
      </c>
      <c r="J170">
        <v>6</v>
      </c>
      <c r="K170">
        <v>1580.2778811170699</v>
      </c>
      <c r="L170">
        <v>474.08336433512102</v>
      </c>
      <c r="M170" t="s">
        <v>24</v>
      </c>
      <c r="N170">
        <f>Supermarket_Sales_Case_Study[[#This Row],[Sales_Amount]]-Supermarket_Sales_Case_Study[[#This Row],[Profit]]</f>
        <v>1106.194516781949</v>
      </c>
      <c r="O170" s="2">
        <f>(Supermarket_Sales_Case_Study[[#This Row],[Sales_Amount]]-Supermarket_Sales_Case_Study[[#This Row],[Purchase]])/Supermarket_Sales_Case_Study[[#This Row],[Sales_Amount]]</f>
        <v>0.29999999999999993</v>
      </c>
      <c r="P170">
        <f>Supermarket_Sales_Case_Study[[#This Row],[Quantity]]*Supermarket_Sales_Case_Study[[#This Row],[Sales_Amount]]</f>
        <v>9481.667286702419</v>
      </c>
    </row>
    <row r="171" spans="1:16" x14ac:dyDescent="0.3">
      <c r="A171" t="s">
        <v>201</v>
      </c>
      <c r="B171" t="s">
        <v>39</v>
      </c>
      <c r="C171" t="s">
        <v>15</v>
      </c>
      <c r="D171">
        <v>2383</v>
      </c>
      <c r="E171" t="s">
        <v>26</v>
      </c>
      <c r="F171" t="s">
        <v>17</v>
      </c>
      <c r="G171" t="s">
        <v>28</v>
      </c>
      <c r="H171" s="1">
        <v>45314</v>
      </c>
      <c r="I171">
        <v>195.00673617857399</v>
      </c>
      <c r="J171">
        <v>1</v>
      </c>
      <c r="K171">
        <v>195.00673617857399</v>
      </c>
      <c r="L171">
        <v>58.502020853572198</v>
      </c>
      <c r="M171" t="s">
        <v>24</v>
      </c>
      <c r="N171">
        <f>Supermarket_Sales_Case_Study[[#This Row],[Sales_Amount]]-Supermarket_Sales_Case_Study[[#This Row],[Profit]]</f>
        <v>136.5047153250018</v>
      </c>
      <c r="O171" s="2">
        <f>(Supermarket_Sales_Case_Study[[#This Row],[Sales_Amount]]-Supermarket_Sales_Case_Study[[#This Row],[Purchase]])/Supermarket_Sales_Case_Study[[#This Row],[Sales_Amount]]</f>
        <v>0.3</v>
      </c>
      <c r="P171">
        <f>Supermarket_Sales_Case_Study[[#This Row],[Quantity]]*Supermarket_Sales_Case_Study[[#This Row],[Sales_Amount]]</f>
        <v>195.00673617857399</v>
      </c>
    </row>
    <row r="172" spans="1:16" x14ac:dyDescent="0.3">
      <c r="A172" t="s">
        <v>202</v>
      </c>
      <c r="B172" t="s">
        <v>39</v>
      </c>
      <c r="C172" t="s">
        <v>30</v>
      </c>
      <c r="D172">
        <v>1384</v>
      </c>
      <c r="E172" t="s">
        <v>16</v>
      </c>
      <c r="F172" t="s">
        <v>17</v>
      </c>
      <c r="G172" t="s">
        <v>28</v>
      </c>
      <c r="H172" s="1">
        <v>45372</v>
      </c>
      <c r="I172">
        <v>251.756508901747</v>
      </c>
      <c r="J172">
        <v>7</v>
      </c>
      <c r="K172">
        <v>1762.29556231223</v>
      </c>
      <c r="L172">
        <v>528.68866869367002</v>
      </c>
      <c r="M172" t="s">
        <v>19</v>
      </c>
      <c r="N172">
        <f>Supermarket_Sales_Case_Study[[#This Row],[Sales_Amount]]-Supermarket_Sales_Case_Study[[#This Row],[Profit]]</f>
        <v>1233.60689361856</v>
      </c>
      <c r="O172" s="2">
        <f>(Supermarket_Sales_Case_Study[[#This Row],[Sales_Amount]]-Supermarket_Sales_Case_Study[[#This Row],[Purchase]])/Supermarket_Sales_Case_Study[[#This Row],[Sales_Amount]]</f>
        <v>0.3000000000000006</v>
      </c>
      <c r="P172">
        <f>Supermarket_Sales_Case_Study[[#This Row],[Quantity]]*Supermarket_Sales_Case_Study[[#This Row],[Sales_Amount]]</f>
        <v>12336.068936185609</v>
      </c>
    </row>
    <row r="173" spans="1:16" x14ac:dyDescent="0.3">
      <c r="A173" t="s">
        <v>203</v>
      </c>
      <c r="B173" t="s">
        <v>39</v>
      </c>
      <c r="C173" t="s">
        <v>15</v>
      </c>
      <c r="D173">
        <v>1055</v>
      </c>
      <c r="E173" t="s">
        <v>16</v>
      </c>
      <c r="F173" t="s">
        <v>17</v>
      </c>
      <c r="G173" t="s">
        <v>33</v>
      </c>
      <c r="H173" s="1">
        <v>45339</v>
      </c>
      <c r="I173">
        <v>154.83521326138199</v>
      </c>
      <c r="J173">
        <v>7</v>
      </c>
      <c r="K173">
        <v>1083.8464928296701</v>
      </c>
      <c r="L173">
        <v>325.15394784890202</v>
      </c>
      <c r="M173" t="s">
        <v>24</v>
      </c>
      <c r="N173">
        <f>Supermarket_Sales_Case_Study[[#This Row],[Sales_Amount]]-Supermarket_Sales_Case_Study[[#This Row],[Profit]]</f>
        <v>758.69254498076805</v>
      </c>
      <c r="O173" s="2">
        <f>(Supermarket_Sales_Case_Study[[#This Row],[Sales_Amount]]-Supermarket_Sales_Case_Study[[#This Row],[Purchase]])/Supermarket_Sales_Case_Study[[#This Row],[Sales_Amount]]</f>
        <v>0.30000000000000093</v>
      </c>
      <c r="P173">
        <f>Supermarket_Sales_Case_Study[[#This Row],[Quantity]]*Supermarket_Sales_Case_Study[[#This Row],[Sales_Amount]]</f>
        <v>7586.9254498076907</v>
      </c>
    </row>
    <row r="174" spans="1:16" x14ac:dyDescent="0.3">
      <c r="A174" t="s">
        <v>204</v>
      </c>
      <c r="B174" t="s">
        <v>14</v>
      </c>
      <c r="C174" t="s">
        <v>36</v>
      </c>
      <c r="D174">
        <v>1117</v>
      </c>
      <c r="E174" t="s">
        <v>26</v>
      </c>
      <c r="F174" t="s">
        <v>22</v>
      </c>
      <c r="G174" t="s">
        <v>37</v>
      </c>
      <c r="H174" s="1">
        <v>45293</v>
      </c>
      <c r="I174">
        <v>165.15739633369</v>
      </c>
      <c r="J174">
        <v>1</v>
      </c>
      <c r="K174">
        <v>165.15739633369</v>
      </c>
      <c r="L174">
        <v>49.547218900107097</v>
      </c>
      <c r="M174" t="s">
        <v>24</v>
      </c>
      <c r="N174">
        <f>Supermarket_Sales_Case_Study[[#This Row],[Sales_Amount]]-Supermarket_Sales_Case_Study[[#This Row],[Profit]]</f>
        <v>115.6101774335829</v>
      </c>
      <c r="O174" s="2">
        <f>(Supermarket_Sales_Case_Study[[#This Row],[Sales_Amount]]-Supermarket_Sales_Case_Study[[#This Row],[Purchase]])/Supermarket_Sales_Case_Study[[#This Row],[Sales_Amount]]</f>
        <v>0.3000000000000006</v>
      </c>
      <c r="P174">
        <f>Supermarket_Sales_Case_Study[[#This Row],[Quantity]]*Supermarket_Sales_Case_Study[[#This Row],[Sales_Amount]]</f>
        <v>165.15739633369</v>
      </c>
    </row>
    <row r="175" spans="1:16" x14ac:dyDescent="0.3">
      <c r="A175" t="s">
        <v>205</v>
      </c>
      <c r="B175" t="s">
        <v>39</v>
      </c>
      <c r="C175" t="s">
        <v>36</v>
      </c>
      <c r="D175">
        <v>1899</v>
      </c>
      <c r="E175" t="s">
        <v>26</v>
      </c>
      <c r="F175" t="s">
        <v>22</v>
      </c>
      <c r="G175" t="s">
        <v>23</v>
      </c>
      <c r="H175" s="1">
        <v>45375</v>
      </c>
      <c r="I175">
        <v>51.872413318763499</v>
      </c>
      <c r="J175">
        <v>9</v>
      </c>
      <c r="K175">
        <v>466.85171986887099</v>
      </c>
      <c r="L175">
        <v>140.05551596066101</v>
      </c>
      <c r="M175" t="s">
        <v>24</v>
      </c>
      <c r="N175">
        <f>Supermarket_Sales_Case_Study[[#This Row],[Sales_Amount]]-Supermarket_Sales_Case_Study[[#This Row],[Profit]]</f>
        <v>326.79620390820997</v>
      </c>
      <c r="O175" s="2">
        <f>(Supermarket_Sales_Case_Study[[#This Row],[Sales_Amount]]-Supermarket_Sales_Case_Study[[#This Row],[Purchase]])/Supermarket_Sales_Case_Study[[#This Row],[Sales_Amount]]</f>
        <v>0.29999999999999938</v>
      </c>
      <c r="P175">
        <f>Supermarket_Sales_Case_Study[[#This Row],[Quantity]]*Supermarket_Sales_Case_Study[[#This Row],[Sales_Amount]]</f>
        <v>4201.6654788198393</v>
      </c>
    </row>
    <row r="176" spans="1:16" x14ac:dyDescent="0.3">
      <c r="A176" t="s">
        <v>206</v>
      </c>
      <c r="B176" t="s">
        <v>14</v>
      </c>
      <c r="C176" t="s">
        <v>36</v>
      </c>
      <c r="D176">
        <v>2276</v>
      </c>
      <c r="E176" t="s">
        <v>16</v>
      </c>
      <c r="F176" t="s">
        <v>17</v>
      </c>
      <c r="G176" t="s">
        <v>31</v>
      </c>
      <c r="H176" s="1">
        <v>45311</v>
      </c>
      <c r="I176">
        <v>237.35633401991299</v>
      </c>
      <c r="J176">
        <v>6</v>
      </c>
      <c r="K176">
        <v>1424.13800411947</v>
      </c>
      <c r="L176">
        <v>427.241401235843</v>
      </c>
      <c r="M176" t="s">
        <v>34</v>
      </c>
      <c r="N176">
        <f>Supermarket_Sales_Case_Study[[#This Row],[Sales_Amount]]-Supermarket_Sales_Case_Study[[#This Row],[Profit]]</f>
        <v>996.896602883627</v>
      </c>
      <c r="O176" s="2">
        <f>(Supermarket_Sales_Case_Study[[#This Row],[Sales_Amount]]-Supermarket_Sales_Case_Study[[#This Row],[Purchase]])/Supermarket_Sales_Case_Study[[#This Row],[Sales_Amount]]</f>
        <v>0.30000000000000143</v>
      </c>
      <c r="P176">
        <f>Supermarket_Sales_Case_Study[[#This Row],[Quantity]]*Supermarket_Sales_Case_Study[[#This Row],[Sales_Amount]]</f>
        <v>8544.8280247168204</v>
      </c>
    </row>
    <row r="177" spans="1:16" x14ac:dyDescent="0.3">
      <c r="A177" t="s">
        <v>207</v>
      </c>
      <c r="B177" t="s">
        <v>21</v>
      </c>
      <c r="C177" t="s">
        <v>36</v>
      </c>
      <c r="D177">
        <v>1797</v>
      </c>
      <c r="E177" t="s">
        <v>16</v>
      </c>
      <c r="F177" t="s">
        <v>17</v>
      </c>
      <c r="G177" t="s">
        <v>28</v>
      </c>
      <c r="H177" s="1">
        <v>45350</v>
      </c>
      <c r="I177">
        <v>131.62298738342099</v>
      </c>
      <c r="J177">
        <v>2</v>
      </c>
      <c r="K177">
        <v>263.24597476684301</v>
      </c>
      <c r="L177">
        <v>78.973792430052995</v>
      </c>
      <c r="M177" t="s">
        <v>24</v>
      </c>
      <c r="N177">
        <f>Supermarket_Sales_Case_Study[[#This Row],[Sales_Amount]]-Supermarket_Sales_Case_Study[[#This Row],[Profit]]</f>
        <v>184.27218233679002</v>
      </c>
      <c r="O177" s="2">
        <f>(Supermarket_Sales_Case_Study[[#This Row],[Sales_Amount]]-Supermarket_Sales_Case_Study[[#This Row],[Purchase]])/Supermarket_Sales_Case_Study[[#This Row],[Sales_Amount]]</f>
        <v>0.30000000000000032</v>
      </c>
      <c r="P177">
        <f>Supermarket_Sales_Case_Study[[#This Row],[Quantity]]*Supermarket_Sales_Case_Study[[#This Row],[Sales_Amount]]</f>
        <v>526.49194953368601</v>
      </c>
    </row>
    <row r="178" spans="1:16" x14ac:dyDescent="0.3">
      <c r="A178" t="s">
        <v>208</v>
      </c>
      <c r="B178" t="s">
        <v>14</v>
      </c>
      <c r="C178" t="s">
        <v>15</v>
      </c>
      <c r="D178">
        <v>1779</v>
      </c>
      <c r="E178" t="s">
        <v>16</v>
      </c>
      <c r="F178" t="s">
        <v>22</v>
      </c>
      <c r="G178" t="s">
        <v>37</v>
      </c>
      <c r="H178" s="1">
        <v>45337</v>
      </c>
      <c r="I178">
        <v>155.02323429875801</v>
      </c>
      <c r="J178">
        <v>5</v>
      </c>
      <c r="K178">
        <v>775.11617149379401</v>
      </c>
      <c r="L178">
        <v>232.534851448138</v>
      </c>
      <c r="M178" t="s">
        <v>19</v>
      </c>
      <c r="N178">
        <f>Supermarket_Sales_Case_Study[[#This Row],[Sales_Amount]]-Supermarket_Sales_Case_Study[[#This Row],[Profit]]</f>
        <v>542.58132004565596</v>
      </c>
      <c r="O178" s="2">
        <f>(Supermarket_Sales_Case_Study[[#This Row],[Sales_Amount]]-Supermarket_Sales_Case_Study[[#This Row],[Purchase]])/Supermarket_Sales_Case_Study[[#This Row],[Sales_Amount]]</f>
        <v>0.29999999999999982</v>
      </c>
      <c r="P178">
        <f>Supermarket_Sales_Case_Study[[#This Row],[Quantity]]*Supermarket_Sales_Case_Study[[#This Row],[Sales_Amount]]</f>
        <v>3875.58085746897</v>
      </c>
    </row>
    <row r="179" spans="1:16" x14ac:dyDescent="0.3">
      <c r="A179" t="s">
        <v>209</v>
      </c>
      <c r="B179" t="s">
        <v>39</v>
      </c>
      <c r="C179" t="s">
        <v>15</v>
      </c>
      <c r="D179">
        <v>2015</v>
      </c>
      <c r="E179" t="s">
        <v>16</v>
      </c>
      <c r="F179" t="s">
        <v>22</v>
      </c>
      <c r="G179" t="s">
        <v>23</v>
      </c>
      <c r="H179" s="1">
        <v>45294</v>
      </c>
      <c r="I179">
        <v>237.67833708775501</v>
      </c>
      <c r="J179">
        <v>4</v>
      </c>
      <c r="K179">
        <v>950.71334835102004</v>
      </c>
      <c r="L179">
        <v>285.21400450530598</v>
      </c>
      <c r="M179" t="s">
        <v>19</v>
      </c>
      <c r="N179">
        <f>Supermarket_Sales_Case_Study[[#This Row],[Sales_Amount]]-Supermarket_Sales_Case_Study[[#This Row],[Profit]]</f>
        <v>665.49934384571407</v>
      </c>
      <c r="O179" s="2">
        <f>(Supermarket_Sales_Case_Study[[#This Row],[Sales_Amount]]-Supermarket_Sales_Case_Study[[#This Row],[Purchase]])/Supermarket_Sales_Case_Study[[#This Row],[Sales_Amount]]</f>
        <v>0.3</v>
      </c>
      <c r="P179">
        <f>Supermarket_Sales_Case_Study[[#This Row],[Quantity]]*Supermarket_Sales_Case_Study[[#This Row],[Sales_Amount]]</f>
        <v>3802.8533934040802</v>
      </c>
    </row>
    <row r="180" spans="1:16" x14ac:dyDescent="0.3">
      <c r="A180" t="s">
        <v>210</v>
      </c>
      <c r="B180" t="s">
        <v>21</v>
      </c>
      <c r="C180" t="s">
        <v>36</v>
      </c>
      <c r="D180">
        <v>1802</v>
      </c>
      <c r="E180" t="s">
        <v>26</v>
      </c>
      <c r="F180" t="s">
        <v>17</v>
      </c>
      <c r="G180" t="s">
        <v>28</v>
      </c>
      <c r="H180" s="1">
        <v>45346</v>
      </c>
      <c r="I180">
        <v>183.66516602303699</v>
      </c>
      <c r="J180">
        <v>7</v>
      </c>
      <c r="K180">
        <v>1285.65616216126</v>
      </c>
      <c r="L180">
        <v>385.69684864837802</v>
      </c>
      <c r="M180" t="s">
        <v>34</v>
      </c>
      <c r="N180">
        <f>Supermarket_Sales_Case_Study[[#This Row],[Sales_Amount]]-Supermarket_Sales_Case_Study[[#This Row],[Profit]]</f>
        <v>899.95931351288198</v>
      </c>
      <c r="O180" s="2">
        <f>(Supermarket_Sales_Case_Study[[#This Row],[Sales_Amount]]-Supermarket_Sales_Case_Study[[#This Row],[Purchase]])/Supermarket_Sales_Case_Study[[#This Row],[Sales_Amount]]</f>
        <v>0.30000000000000004</v>
      </c>
      <c r="P180">
        <f>Supermarket_Sales_Case_Study[[#This Row],[Quantity]]*Supermarket_Sales_Case_Study[[#This Row],[Sales_Amount]]</f>
        <v>8999.59313512882</v>
      </c>
    </row>
    <row r="181" spans="1:16" x14ac:dyDescent="0.3">
      <c r="A181" t="s">
        <v>211</v>
      </c>
      <c r="B181" t="s">
        <v>21</v>
      </c>
      <c r="C181" t="s">
        <v>36</v>
      </c>
      <c r="D181">
        <v>1844</v>
      </c>
      <c r="E181" t="s">
        <v>26</v>
      </c>
      <c r="F181" t="s">
        <v>17</v>
      </c>
      <c r="G181" t="s">
        <v>28</v>
      </c>
      <c r="H181" s="1">
        <v>45303</v>
      </c>
      <c r="I181">
        <v>68.318630958373504</v>
      </c>
      <c r="J181">
        <v>8</v>
      </c>
      <c r="K181">
        <v>546.54904766698803</v>
      </c>
      <c r="L181">
        <v>163.96471430009601</v>
      </c>
      <c r="M181" t="s">
        <v>19</v>
      </c>
      <c r="N181">
        <f>Supermarket_Sales_Case_Study[[#This Row],[Sales_Amount]]-Supermarket_Sales_Case_Study[[#This Row],[Profit]]</f>
        <v>382.584333366892</v>
      </c>
      <c r="O181" s="2">
        <f>(Supermarket_Sales_Case_Study[[#This Row],[Sales_Amount]]-Supermarket_Sales_Case_Study[[#This Row],[Purchase]])/Supermarket_Sales_Case_Study[[#This Row],[Sales_Amount]]</f>
        <v>0.29999999999999932</v>
      </c>
      <c r="P181">
        <f>Supermarket_Sales_Case_Study[[#This Row],[Quantity]]*Supermarket_Sales_Case_Study[[#This Row],[Sales_Amount]]</f>
        <v>4372.3923813359042</v>
      </c>
    </row>
    <row r="182" spans="1:16" x14ac:dyDescent="0.3">
      <c r="A182" t="s">
        <v>212</v>
      </c>
      <c r="B182" t="s">
        <v>21</v>
      </c>
      <c r="C182" t="s">
        <v>15</v>
      </c>
      <c r="D182">
        <v>2203</v>
      </c>
      <c r="E182" t="s">
        <v>26</v>
      </c>
      <c r="F182" t="s">
        <v>22</v>
      </c>
      <c r="G182" t="s">
        <v>31</v>
      </c>
      <c r="H182" s="1">
        <v>45331</v>
      </c>
      <c r="I182">
        <v>181.16747115375799</v>
      </c>
      <c r="J182">
        <v>1</v>
      </c>
      <c r="K182">
        <v>181.16747115375799</v>
      </c>
      <c r="L182">
        <v>54.350241346127603</v>
      </c>
      <c r="M182" t="s">
        <v>19</v>
      </c>
      <c r="N182">
        <f>Supermarket_Sales_Case_Study[[#This Row],[Sales_Amount]]-Supermarket_Sales_Case_Study[[#This Row],[Profit]]</f>
        <v>126.81722980763038</v>
      </c>
      <c r="O182" s="2">
        <f>(Supermarket_Sales_Case_Study[[#This Row],[Sales_Amount]]-Supermarket_Sales_Case_Study[[#This Row],[Purchase]])/Supermarket_Sales_Case_Study[[#This Row],[Sales_Amount]]</f>
        <v>0.30000000000000115</v>
      </c>
      <c r="P182">
        <f>Supermarket_Sales_Case_Study[[#This Row],[Quantity]]*Supermarket_Sales_Case_Study[[#This Row],[Sales_Amount]]</f>
        <v>181.16747115375799</v>
      </c>
    </row>
    <row r="183" spans="1:16" x14ac:dyDescent="0.3">
      <c r="A183" t="s">
        <v>213</v>
      </c>
      <c r="B183" t="s">
        <v>14</v>
      </c>
      <c r="C183" t="s">
        <v>36</v>
      </c>
      <c r="D183">
        <v>2438</v>
      </c>
      <c r="E183" t="s">
        <v>16</v>
      </c>
      <c r="F183" t="s">
        <v>22</v>
      </c>
      <c r="G183" t="s">
        <v>31</v>
      </c>
      <c r="H183" s="1">
        <v>45357</v>
      </c>
      <c r="I183">
        <v>128.21352881409999</v>
      </c>
      <c r="J183">
        <v>5</v>
      </c>
      <c r="K183">
        <v>641.06764407050002</v>
      </c>
      <c r="L183">
        <v>192.32029322115</v>
      </c>
      <c r="M183" t="s">
        <v>34</v>
      </c>
      <c r="N183">
        <f>Supermarket_Sales_Case_Study[[#This Row],[Sales_Amount]]-Supermarket_Sales_Case_Study[[#This Row],[Profit]]</f>
        <v>448.74735084935003</v>
      </c>
      <c r="O183" s="2">
        <f>(Supermarket_Sales_Case_Study[[#This Row],[Sales_Amount]]-Supermarket_Sales_Case_Study[[#This Row],[Purchase]])/Supermarket_Sales_Case_Study[[#This Row],[Sales_Amount]]</f>
        <v>0.3</v>
      </c>
      <c r="P183">
        <f>Supermarket_Sales_Case_Study[[#This Row],[Quantity]]*Supermarket_Sales_Case_Study[[#This Row],[Sales_Amount]]</f>
        <v>3205.3382203525002</v>
      </c>
    </row>
    <row r="184" spans="1:16" x14ac:dyDescent="0.3">
      <c r="A184" t="s">
        <v>214</v>
      </c>
      <c r="B184" t="s">
        <v>39</v>
      </c>
      <c r="C184" t="s">
        <v>30</v>
      </c>
      <c r="D184">
        <v>2258</v>
      </c>
      <c r="E184" t="s">
        <v>16</v>
      </c>
      <c r="F184" t="s">
        <v>22</v>
      </c>
      <c r="G184" t="s">
        <v>28</v>
      </c>
      <c r="H184" s="1">
        <v>45369</v>
      </c>
      <c r="I184">
        <v>146.16240719272</v>
      </c>
      <c r="J184">
        <v>3</v>
      </c>
      <c r="K184">
        <v>438.48722157816002</v>
      </c>
      <c r="L184">
        <v>131.54616647344801</v>
      </c>
      <c r="M184" t="s">
        <v>24</v>
      </c>
      <c r="N184">
        <f>Supermarket_Sales_Case_Study[[#This Row],[Sales_Amount]]-Supermarket_Sales_Case_Study[[#This Row],[Profit]]</f>
        <v>306.94105510471201</v>
      </c>
      <c r="O184" s="2">
        <f>(Supermarket_Sales_Case_Study[[#This Row],[Sales_Amount]]-Supermarket_Sales_Case_Study[[#This Row],[Purchase]])/Supermarket_Sales_Case_Study[[#This Row],[Sales_Amount]]</f>
        <v>0.3</v>
      </c>
      <c r="P184">
        <f>Supermarket_Sales_Case_Study[[#This Row],[Quantity]]*Supermarket_Sales_Case_Study[[#This Row],[Sales_Amount]]</f>
        <v>1315.4616647344801</v>
      </c>
    </row>
    <row r="185" spans="1:16" x14ac:dyDescent="0.3">
      <c r="A185" t="s">
        <v>215</v>
      </c>
      <c r="B185" t="s">
        <v>21</v>
      </c>
      <c r="C185" t="s">
        <v>36</v>
      </c>
      <c r="D185">
        <v>1854</v>
      </c>
      <c r="E185" t="s">
        <v>26</v>
      </c>
      <c r="F185" t="s">
        <v>22</v>
      </c>
      <c r="G185" t="s">
        <v>18</v>
      </c>
      <c r="H185" s="1">
        <v>45307</v>
      </c>
      <c r="I185">
        <v>18.210269576773602</v>
      </c>
      <c r="J185">
        <v>1</v>
      </c>
      <c r="K185">
        <v>18.210269576773602</v>
      </c>
      <c r="L185">
        <v>5.4630808730320899</v>
      </c>
      <c r="M185" t="s">
        <v>34</v>
      </c>
      <c r="N185">
        <f>Supermarket_Sales_Case_Study[[#This Row],[Sales_Amount]]-Supermarket_Sales_Case_Study[[#This Row],[Profit]]</f>
        <v>12.747188703741511</v>
      </c>
      <c r="O185" s="2">
        <f>(Supermarket_Sales_Case_Study[[#This Row],[Sales_Amount]]-Supermarket_Sales_Case_Study[[#This Row],[Purchase]])/Supermarket_Sales_Case_Study[[#This Row],[Sales_Amount]]</f>
        <v>0.30000000000000054</v>
      </c>
      <c r="P185">
        <f>Supermarket_Sales_Case_Study[[#This Row],[Quantity]]*Supermarket_Sales_Case_Study[[#This Row],[Sales_Amount]]</f>
        <v>18.210269576773602</v>
      </c>
    </row>
    <row r="186" spans="1:16" x14ac:dyDescent="0.3">
      <c r="A186" t="s">
        <v>216</v>
      </c>
      <c r="B186" t="s">
        <v>21</v>
      </c>
      <c r="C186" t="s">
        <v>36</v>
      </c>
      <c r="D186">
        <v>1707</v>
      </c>
      <c r="E186" t="s">
        <v>26</v>
      </c>
      <c r="F186" t="s">
        <v>22</v>
      </c>
      <c r="G186" t="s">
        <v>28</v>
      </c>
      <c r="H186" s="1">
        <v>45374</v>
      </c>
      <c r="I186">
        <v>70.908511359721601</v>
      </c>
      <c r="J186">
        <v>3</v>
      </c>
      <c r="K186">
        <v>212.72553407916499</v>
      </c>
      <c r="L186">
        <v>63.817660223749499</v>
      </c>
      <c r="M186" t="s">
        <v>24</v>
      </c>
      <c r="N186">
        <f>Supermarket_Sales_Case_Study[[#This Row],[Sales_Amount]]-Supermarket_Sales_Case_Study[[#This Row],[Profit]]</f>
        <v>148.90787385541549</v>
      </c>
      <c r="O186" s="2">
        <f>(Supermarket_Sales_Case_Study[[#This Row],[Sales_Amount]]-Supermarket_Sales_Case_Study[[#This Row],[Purchase]])/Supermarket_Sales_Case_Study[[#This Row],[Sales_Amount]]</f>
        <v>0.3</v>
      </c>
      <c r="P186">
        <f>Supermarket_Sales_Case_Study[[#This Row],[Quantity]]*Supermarket_Sales_Case_Study[[#This Row],[Sales_Amount]]</f>
        <v>638.17660223749499</v>
      </c>
    </row>
    <row r="187" spans="1:16" x14ac:dyDescent="0.3">
      <c r="A187" t="s">
        <v>217</v>
      </c>
      <c r="B187" t="s">
        <v>21</v>
      </c>
      <c r="C187" t="s">
        <v>30</v>
      </c>
      <c r="D187">
        <v>2103</v>
      </c>
      <c r="E187" t="s">
        <v>26</v>
      </c>
      <c r="F187" t="s">
        <v>17</v>
      </c>
      <c r="G187" t="s">
        <v>37</v>
      </c>
      <c r="H187" s="1">
        <v>45325</v>
      </c>
      <c r="I187">
        <v>91.501043600498093</v>
      </c>
      <c r="J187">
        <v>6</v>
      </c>
      <c r="K187">
        <v>549.00626160298896</v>
      </c>
      <c r="L187">
        <v>164.701878480896</v>
      </c>
      <c r="M187" t="s">
        <v>24</v>
      </c>
      <c r="N187">
        <f>Supermarket_Sales_Case_Study[[#This Row],[Sales_Amount]]-Supermarket_Sales_Case_Study[[#This Row],[Profit]]</f>
        <v>384.30438312209299</v>
      </c>
      <c r="O187" s="2">
        <f>(Supermarket_Sales_Case_Study[[#This Row],[Sales_Amount]]-Supermarket_Sales_Case_Study[[#This Row],[Purchase]])/Supermarket_Sales_Case_Study[[#This Row],[Sales_Amount]]</f>
        <v>0.29999999999999871</v>
      </c>
      <c r="P187">
        <f>Supermarket_Sales_Case_Study[[#This Row],[Quantity]]*Supermarket_Sales_Case_Study[[#This Row],[Sales_Amount]]</f>
        <v>3294.0375696179335</v>
      </c>
    </row>
    <row r="188" spans="1:16" x14ac:dyDescent="0.3">
      <c r="A188" t="s">
        <v>218</v>
      </c>
      <c r="B188" t="s">
        <v>14</v>
      </c>
      <c r="C188" t="s">
        <v>30</v>
      </c>
      <c r="D188">
        <v>1021</v>
      </c>
      <c r="E188" t="s">
        <v>26</v>
      </c>
      <c r="F188" t="s">
        <v>22</v>
      </c>
      <c r="G188" t="s">
        <v>28</v>
      </c>
      <c r="H188" s="1">
        <v>45335</v>
      </c>
      <c r="I188">
        <v>216.758402279053</v>
      </c>
      <c r="J188">
        <v>7</v>
      </c>
      <c r="K188">
        <v>1517.30881595337</v>
      </c>
      <c r="L188">
        <v>455.19264478601201</v>
      </c>
      <c r="M188" t="s">
        <v>19</v>
      </c>
      <c r="N188">
        <f>Supermarket_Sales_Case_Study[[#This Row],[Sales_Amount]]-Supermarket_Sales_Case_Study[[#This Row],[Profit]]</f>
        <v>1062.1161711673581</v>
      </c>
      <c r="O188" s="2">
        <f>(Supermarket_Sales_Case_Study[[#This Row],[Sales_Amount]]-Supermarket_Sales_Case_Study[[#This Row],[Purchase]])/Supermarket_Sales_Case_Study[[#This Row],[Sales_Amount]]</f>
        <v>0.3000000000000006</v>
      </c>
      <c r="P188">
        <f>Supermarket_Sales_Case_Study[[#This Row],[Quantity]]*Supermarket_Sales_Case_Study[[#This Row],[Sales_Amount]]</f>
        <v>10621.161711673591</v>
      </c>
    </row>
    <row r="189" spans="1:16" x14ac:dyDescent="0.3">
      <c r="A189" t="s">
        <v>219</v>
      </c>
      <c r="B189" t="s">
        <v>14</v>
      </c>
      <c r="C189" t="s">
        <v>15</v>
      </c>
      <c r="D189">
        <v>1842</v>
      </c>
      <c r="E189" t="s">
        <v>16</v>
      </c>
      <c r="F189" t="s">
        <v>17</v>
      </c>
      <c r="G189" t="s">
        <v>33</v>
      </c>
      <c r="H189" s="1">
        <v>45297</v>
      </c>
      <c r="I189">
        <v>13.332817256453399</v>
      </c>
      <c r="J189">
        <v>8</v>
      </c>
      <c r="K189">
        <v>106.662538051627</v>
      </c>
      <c r="L189">
        <v>31.9987614154882</v>
      </c>
      <c r="M189" t="s">
        <v>34</v>
      </c>
      <c r="N189">
        <f>Supermarket_Sales_Case_Study[[#This Row],[Sales_Amount]]-Supermarket_Sales_Case_Study[[#This Row],[Profit]]</f>
        <v>74.663776636138792</v>
      </c>
      <c r="O189" s="2">
        <f>(Supermarket_Sales_Case_Study[[#This Row],[Sales_Amount]]-Supermarket_Sales_Case_Study[[#This Row],[Purchase]])/Supermarket_Sales_Case_Study[[#This Row],[Sales_Amount]]</f>
        <v>0.30000000000000099</v>
      </c>
      <c r="P189">
        <f>Supermarket_Sales_Case_Study[[#This Row],[Quantity]]*Supermarket_Sales_Case_Study[[#This Row],[Sales_Amount]]</f>
        <v>853.30030441301597</v>
      </c>
    </row>
    <row r="190" spans="1:16" x14ac:dyDescent="0.3">
      <c r="A190" t="s">
        <v>220</v>
      </c>
      <c r="B190" t="s">
        <v>39</v>
      </c>
      <c r="C190" t="s">
        <v>15</v>
      </c>
      <c r="D190">
        <v>2463</v>
      </c>
      <c r="E190" t="s">
        <v>26</v>
      </c>
      <c r="F190" t="s">
        <v>22</v>
      </c>
      <c r="G190" t="s">
        <v>33</v>
      </c>
      <c r="H190" s="1">
        <v>45368</v>
      </c>
      <c r="I190">
        <v>128.54540575644799</v>
      </c>
      <c r="J190">
        <v>4</v>
      </c>
      <c r="K190">
        <v>514.18162302579299</v>
      </c>
      <c r="L190">
        <v>154.254486907737</v>
      </c>
      <c r="M190" t="s">
        <v>19</v>
      </c>
      <c r="N190">
        <f>Supermarket_Sales_Case_Study[[#This Row],[Sales_Amount]]-Supermarket_Sales_Case_Study[[#This Row],[Profit]]</f>
        <v>359.92713611805596</v>
      </c>
      <c r="O190" s="2">
        <f>(Supermarket_Sales_Case_Study[[#This Row],[Sales_Amount]]-Supermarket_Sales_Case_Study[[#This Row],[Purchase]])/Supermarket_Sales_Case_Study[[#This Row],[Sales_Amount]]</f>
        <v>0.29999999999999832</v>
      </c>
      <c r="P190">
        <f>Supermarket_Sales_Case_Study[[#This Row],[Quantity]]*Supermarket_Sales_Case_Study[[#This Row],[Sales_Amount]]</f>
        <v>2056.7264921031719</v>
      </c>
    </row>
    <row r="191" spans="1:16" x14ac:dyDescent="0.3">
      <c r="A191" t="s">
        <v>221</v>
      </c>
      <c r="B191" t="s">
        <v>14</v>
      </c>
      <c r="C191" t="s">
        <v>30</v>
      </c>
      <c r="D191">
        <v>2116</v>
      </c>
      <c r="E191" t="s">
        <v>26</v>
      </c>
      <c r="F191" t="s">
        <v>17</v>
      </c>
      <c r="G191" t="s">
        <v>33</v>
      </c>
      <c r="H191" s="1">
        <v>45355</v>
      </c>
      <c r="I191">
        <v>277.96779242346201</v>
      </c>
      <c r="J191">
        <v>3</v>
      </c>
      <c r="K191">
        <v>833.90337727038695</v>
      </c>
      <c r="L191">
        <v>250.171013181116</v>
      </c>
      <c r="M191" t="s">
        <v>19</v>
      </c>
      <c r="N191">
        <f>Supermarket_Sales_Case_Study[[#This Row],[Sales_Amount]]-Supermarket_Sales_Case_Study[[#This Row],[Profit]]</f>
        <v>583.73236408927096</v>
      </c>
      <c r="O191" s="2">
        <f>(Supermarket_Sales_Case_Study[[#This Row],[Sales_Amount]]-Supermarket_Sales_Case_Study[[#This Row],[Purchase]])/Supermarket_Sales_Case_Study[[#This Row],[Sales_Amount]]</f>
        <v>0.29999999999999988</v>
      </c>
      <c r="P191">
        <f>Supermarket_Sales_Case_Study[[#This Row],[Quantity]]*Supermarket_Sales_Case_Study[[#This Row],[Sales_Amount]]</f>
        <v>2501.7101318111609</v>
      </c>
    </row>
    <row r="192" spans="1:16" x14ac:dyDescent="0.3">
      <c r="A192" t="s">
        <v>222</v>
      </c>
      <c r="B192" t="s">
        <v>21</v>
      </c>
      <c r="C192" t="s">
        <v>30</v>
      </c>
      <c r="D192">
        <v>1191</v>
      </c>
      <c r="E192" t="s">
        <v>26</v>
      </c>
      <c r="F192" t="s">
        <v>22</v>
      </c>
      <c r="G192" t="s">
        <v>18</v>
      </c>
      <c r="H192" s="1">
        <v>45313</v>
      </c>
      <c r="I192">
        <v>42.445378799245901</v>
      </c>
      <c r="J192">
        <v>5</v>
      </c>
      <c r="K192">
        <v>212.22689399622899</v>
      </c>
      <c r="L192">
        <v>63.668068198868802</v>
      </c>
      <c r="M192" t="s">
        <v>24</v>
      </c>
      <c r="N192">
        <f>Supermarket_Sales_Case_Study[[#This Row],[Sales_Amount]]-Supermarket_Sales_Case_Study[[#This Row],[Profit]]</f>
        <v>148.55882579736019</v>
      </c>
      <c r="O192" s="2">
        <f>(Supermarket_Sales_Case_Study[[#This Row],[Sales_Amount]]-Supermarket_Sales_Case_Study[[#This Row],[Purchase]])/Supermarket_Sales_Case_Study[[#This Row],[Sales_Amount]]</f>
        <v>0.30000000000000054</v>
      </c>
      <c r="P192">
        <f>Supermarket_Sales_Case_Study[[#This Row],[Quantity]]*Supermarket_Sales_Case_Study[[#This Row],[Sales_Amount]]</f>
        <v>1061.134469981145</v>
      </c>
    </row>
    <row r="193" spans="1:16" x14ac:dyDescent="0.3">
      <c r="A193" t="s">
        <v>223</v>
      </c>
      <c r="B193" t="s">
        <v>39</v>
      </c>
      <c r="C193" t="s">
        <v>15</v>
      </c>
      <c r="D193">
        <v>2018</v>
      </c>
      <c r="E193" t="s">
        <v>26</v>
      </c>
      <c r="F193" t="s">
        <v>22</v>
      </c>
      <c r="G193" t="s">
        <v>18</v>
      </c>
      <c r="H193" s="1">
        <v>45309</v>
      </c>
      <c r="I193">
        <v>159.76307258339699</v>
      </c>
      <c r="J193">
        <v>9</v>
      </c>
      <c r="K193">
        <v>1437.8676532505699</v>
      </c>
      <c r="L193">
        <v>431.36029597517199</v>
      </c>
      <c r="M193" t="s">
        <v>19</v>
      </c>
      <c r="N193">
        <f>Supermarket_Sales_Case_Study[[#This Row],[Sales_Amount]]-Supermarket_Sales_Case_Study[[#This Row],[Profit]]</f>
        <v>1006.5073572753979</v>
      </c>
      <c r="O193" s="2">
        <f>(Supermarket_Sales_Case_Study[[#This Row],[Sales_Amount]]-Supermarket_Sales_Case_Study[[#This Row],[Purchase]])/Supermarket_Sales_Case_Study[[#This Row],[Sales_Amount]]</f>
        <v>0.30000000000000071</v>
      </c>
      <c r="P193">
        <f>Supermarket_Sales_Case_Study[[#This Row],[Quantity]]*Supermarket_Sales_Case_Study[[#This Row],[Sales_Amount]]</f>
        <v>12940.80887925513</v>
      </c>
    </row>
    <row r="194" spans="1:16" x14ac:dyDescent="0.3">
      <c r="A194" t="s">
        <v>224</v>
      </c>
      <c r="B194" t="s">
        <v>21</v>
      </c>
      <c r="C194" t="s">
        <v>36</v>
      </c>
      <c r="D194">
        <v>2126</v>
      </c>
      <c r="E194" t="s">
        <v>26</v>
      </c>
      <c r="F194" t="s">
        <v>17</v>
      </c>
      <c r="G194" t="s">
        <v>28</v>
      </c>
      <c r="H194" s="1">
        <v>45303</v>
      </c>
      <c r="I194">
        <v>238.091490893345</v>
      </c>
      <c r="J194">
        <v>6</v>
      </c>
      <c r="K194">
        <v>1428.5489453600701</v>
      </c>
      <c r="L194">
        <v>428.56468360802199</v>
      </c>
      <c r="M194" t="s">
        <v>34</v>
      </c>
      <c r="N194">
        <f>Supermarket_Sales_Case_Study[[#This Row],[Sales_Amount]]-Supermarket_Sales_Case_Study[[#This Row],[Profit]]</f>
        <v>999.98426175204804</v>
      </c>
      <c r="O194" s="2">
        <f>(Supermarket_Sales_Case_Study[[#This Row],[Sales_Amount]]-Supermarket_Sales_Case_Study[[#This Row],[Purchase]])/Supermarket_Sales_Case_Study[[#This Row],[Sales_Amount]]</f>
        <v>0.30000000000000071</v>
      </c>
      <c r="P194">
        <f>Supermarket_Sales_Case_Study[[#This Row],[Quantity]]*Supermarket_Sales_Case_Study[[#This Row],[Sales_Amount]]</f>
        <v>8571.2936721604201</v>
      </c>
    </row>
    <row r="195" spans="1:16" x14ac:dyDescent="0.3">
      <c r="A195" t="s">
        <v>225</v>
      </c>
      <c r="B195" t="s">
        <v>21</v>
      </c>
      <c r="C195" t="s">
        <v>30</v>
      </c>
      <c r="D195">
        <v>1395</v>
      </c>
      <c r="E195" t="s">
        <v>26</v>
      </c>
      <c r="F195" t="s">
        <v>17</v>
      </c>
      <c r="G195" t="s">
        <v>33</v>
      </c>
      <c r="H195" s="1">
        <v>45343</v>
      </c>
      <c r="I195">
        <v>283.33407918083299</v>
      </c>
      <c r="J195">
        <v>9</v>
      </c>
      <c r="K195">
        <v>2550.0067126274998</v>
      </c>
      <c r="L195">
        <v>765.00201378825102</v>
      </c>
      <c r="M195" t="s">
        <v>19</v>
      </c>
      <c r="N195">
        <f>Supermarket_Sales_Case_Study[[#This Row],[Sales_Amount]]-Supermarket_Sales_Case_Study[[#This Row],[Profit]]</f>
        <v>1785.0046988392487</v>
      </c>
      <c r="O195" s="2">
        <f>(Supermarket_Sales_Case_Study[[#This Row],[Sales_Amount]]-Supermarket_Sales_Case_Study[[#This Row],[Purchase]])/Supermarket_Sales_Case_Study[[#This Row],[Sales_Amount]]</f>
        <v>0.30000000000000049</v>
      </c>
      <c r="P195">
        <f>Supermarket_Sales_Case_Study[[#This Row],[Quantity]]*Supermarket_Sales_Case_Study[[#This Row],[Sales_Amount]]</f>
        <v>22950.060413647498</v>
      </c>
    </row>
    <row r="196" spans="1:16" x14ac:dyDescent="0.3">
      <c r="A196" t="s">
        <v>226</v>
      </c>
      <c r="B196" t="s">
        <v>14</v>
      </c>
      <c r="C196" t="s">
        <v>15</v>
      </c>
      <c r="D196">
        <v>2030</v>
      </c>
      <c r="E196" t="s">
        <v>26</v>
      </c>
      <c r="F196" t="s">
        <v>22</v>
      </c>
      <c r="G196" t="s">
        <v>18</v>
      </c>
      <c r="H196" s="1">
        <v>45342</v>
      </c>
      <c r="I196">
        <v>226.565225464778</v>
      </c>
      <c r="J196">
        <v>6</v>
      </c>
      <c r="K196">
        <v>1359.39135278866</v>
      </c>
      <c r="L196">
        <v>407.81740583660002</v>
      </c>
      <c r="M196" t="s">
        <v>19</v>
      </c>
      <c r="N196">
        <f>Supermarket_Sales_Case_Study[[#This Row],[Sales_Amount]]-Supermarket_Sales_Case_Study[[#This Row],[Profit]]</f>
        <v>951.57394695205994</v>
      </c>
      <c r="O196" s="2">
        <f>(Supermarket_Sales_Case_Study[[#This Row],[Sales_Amount]]-Supermarket_Sales_Case_Study[[#This Row],[Purchase]])/Supermarket_Sales_Case_Study[[#This Row],[Sales_Amount]]</f>
        <v>0.30000000000000154</v>
      </c>
      <c r="P196">
        <f>Supermarket_Sales_Case_Study[[#This Row],[Quantity]]*Supermarket_Sales_Case_Study[[#This Row],[Sales_Amount]]</f>
        <v>8156.3481167319605</v>
      </c>
    </row>
    <row r="197" spans="1:16" x14ac:dyDescent="0.3">
      <c r="A197" t="s">
        <v>227</v>
      </c>
      <c r="B197" t="s">
        <v>39</v>
      </c>
      <c r="C197" t="s">
        <v>36</v>
      </c>
      <c r="D197">
        <v>1639</v>
      </c>
      <c r="E197" t="s">
        <v>16</v>
      </c>
      <c r="F197" t="s">
        <v>22</v>
      </c>
      <c r="G197" t="s">
        <v>31</v>
      </c>
      <c r="H197" s="1">
        <v>45362</v>
      </c>
      <c r="I197">
        <v>218.964009106877</v>
      </c>
      <c r="J197">
        <v>2</v>
      </c>
      <c r="K197">
        <v>437.92801821375502</v>
      </c>
      <c r="L197">
        <v>131.37840546412599</v>
      </c>
      <c r="M197" t="s">
        <v>24</v>
      </c>
      <c r="N197">
        <f>Supermarket_Sales_Case_Study[[#This Row],[Sales_Amount]]-Supermarket_Sales_Case_Study[[#This Row],[Profit]]</f>
        <v>306.54961274962903</v>
      </c>
      <c r="O197" s="2">
        <f>(Supermarket_Sales_Case_Study[[#This Row],[Sales_Amount]]-Supermarket_Sales_Case_Study[[#This Row],[Purchase]])/Supermarket_Sales_Case_Study[[#This Row],[Sales_Amount]]</f>
        <v>0.29999999999999882</v>
      </c>
      <c r="P197">
        <f>Supermarket_Sales_Case_Study[[#This Row],[Quantity]]*Supermarket_Sales_Case_Study[[#This Row],[Sales_Amount]]</f>
        <v>875.85603642751005</v>
      </c>
    </row>
    <row r="198" spans="1:16" x14ac:dyDescent="0.3">
      <c r="A198" t="s">
        <v>228</v>
      </c>
      <c r="B198" t="s">
        <v>14</v>
      </c>
      <c r="C198" t="s">
        <v>30</v>
      </c>
      <c r="D198">
        <v>2018</v>
      </c>
      <c r="E198" t="s">
        <v>16</v>
      </c>
      <c r="F198" t="s">
        <v>22</v>
      </c>
      <c r="G198" t="s">
        <v>28</v>
      </c>
      <c r="H198" s="1">
        <v>45339</v>
      </c>
      <c r="I198">
        <v>249.68154615677099</v>
      </c>
      <c r="J198">
        <v>5</v>
      </c>
      <c r="K198">
        <v>1248.40773078385</v>
      </c>
      <c r="L198">
        <v>374.52231923515598</v>
      </c>
      <c r="M198" t="s">
        <v>34</v>
      </c>
      <c r="N198">
        <f>Supermarket_Sales_Case_Study[[#This Row],[Sales_Amount]]-Supermarket_Sales_Case_Study[[#This Row],[Profit]]</f>
        <v>873.88541154869404</v>
      </c>
      <c r="O198" s="2">
        <f>(Supermarket_Sales_Case_Study[[#This Row],[Sales_Amount]]-Supermarket_Sales_Case_Study[[#This Row],[Purchase]])/Supermarket_Sales_Case_Study[[#This Row],[Sales_Amount]]</f>
        <v>0.30000000000000077</v>
      </c>
      <c r="P198">
        <f>Supermarket_Sales_Case_Study[[#This Row],[Quantity]]*Supermarket_Sales_Case_Study[[#This Row],[Sales_Amount]]</f>
        <v>6242.0386539192496</v>
      </c>
    </row>
    <row r="199" spans="1:16" x14ac:dyDescent="0.3">
      <c r="A199" t="s">
        <v>229</v>
      </c>
      <c r="B199" t="s">
        <v>14</v>
      </c>
      <c r="C199" t="s">
        <v>36</v>
      </c>
      <c r="D199">
        <v>1566</v>
      </c>
      <c r="E199" t="s">
        <v>16</v>
      </c>
      <c r="F199" t="s">
        <v>22</v>
      </c>
      <c r="G199" t="s">
        <v>37</v>
      </c>
      <c r="H199" s="1">
        <v>45310</v>
      </c>
      <c r="I199">
        <v>139.39835408348699</v>
      </c>
      <c r="J199">
        <v>9</v>
      </c>
      <c r="K199">
        <v>1254.58518675138</v>
      </c>
      <c r="L199">
        <v>376.37555602541602</v>
      </c>
      <c r="M199" t="s">
        <v>19</v>
      </c>
      <c r="N199">
        <f>Supermarket_Sales_Case_Study[[#This Row],[Sales_Amount]]-Supermarket_Sales_Case_Study[[#This Row],[Profit]]</f>
        <v>878.20963072596396</v>
      </c>
      <c r="O199" s="2">
        <f>(Supermarket_Sales_Case_Study[[#This Row],[Sales_Amount]]-Supermarket_Sales_Case_Study[[#This Row],[Purchase]])/Supermarket_Sales_Case_Study[[#This Row],[Sales_Amount]]</f>
        <v>0.3000000000000016</v>
      </c>
      <c r="P199">
        <f>Supermarket_Sales_Case_Study[[#This Row],[Quantity]]*Supermarket_Sales_Case_Study[[#This Row],[Sales_Amount]]</f>
        <v>11291.266680762419</v>
      </c>
    </row>
    <row r="200" spans="1:16" x14ac:dyDescent="0.3">
      <c r="A200" t="s">
        <v>230</v>
      </c>
      <c r="B200" t="s">
        <v>39</v>
      </c>
      <c r="C200" t="s">
        <v>15</v>
      </c>
      <c r="D200">
        <v>1230</v>
      </c>
      <c r="E200" t="s">
        <v>16</v>
      </c>
      <c r="F200" t="s">
        <v>22</v>
      </c>
      <c r="G200" t="s">
        <v>23</v>
      </c>
      <c r="H200" s="1">
        <v>45297</v>
      </c>
      <c r="I200">
        <v>243.694914459171</v>
      </c>
      <c r="J200">
        <v>8</v>
      </c>
      <c r="K200">
        <v>1949.5593156733701</v>
      </c>
      <c r="L200">
        <v>584.867794702011</v>
      </c>
      <c r="M200" t="s">
        <v>24</v>
      </c>
      <c r="N200">
        <f>Supermarket_Sales_Case_Study[[#This Row],[Sales_Amount]]-Supermarket_Sales_Case_Study[[#This Row],[Profit]]</f>
        <v>1364.6915209713591</v>
      </c>
      <c r="O200" s="2">
        <f>(Supermarket_Sales_Case_Study[[#This Row],[Sales_Amount]]-Supermarket_Sales_Case_Study[[#This Row],[Purchase]])/Supermarket_Sales_Case_Study[[#This Row],[Sales_Amount]]</f>
        <v>0.3</v>
      </c>
      <c r="P200">
        <f>Supermarket_Sales_Case_Study[[#This Row],[Quantity]]*Supermarket_Sales_Case_Study[[#This Row],[Sales_Amount]]</f>
        <v>15596.474525386961</v>
      </c>
    </row>
    <row r="201" spans="1:16" x14ac:dyDescent="0.3">
      <c r="A201" t="s">
        <v>231</v>
      </c>
      <c r="B201" t="s">
        <v>21</v>
      </c>
      <c r="C201" t="s">
        <v>30</v>
      </c>
      <c r="D201">
        <v>1873</v>
      </c>
      <c r="E201" t="s">
        <v>26</v>
      </c>
      <c r="F201" t="s">
        <v>17</v>
      </c>
      <c r="G201" t="s">
        <v>28</v>
      </c>
      <c r="H201" s="1">
        <v>45375</v>
      </c>
      <c r="I201">
        <v>12.309677376180799</v>
      </c>
      <c r="J201">
        <v>7</v>
      </c>
      <c r="K201">
        <v>86.167741633265706</v>
      </c>
      <c r="L201">
        <v>25.8503224899797</v>
      </c>
      <c r="M201" t="s">
        <v>19</v>
      </c>
      <c r="N201">
        <f>Supermarket_Sales_Case_Study[[#This Row],[Sales_Amount]]-Supermarket_Sales_Case_Study[[#This Row],[Profit]]</f>
        <v>60.317419143286003</v>
      </c>
      <c r="O201" s="2">
        <f>(Supermarket_Sales_Case_Study[[#This Row],[Sales_Amount]]-Supermarket_Sales_Case_Study[[#This Row],[Purchase]])/Supermarket_Sales_Case_Study[[#This Row],[Sales_Amount]]</f>
        <v>0.29999999999999988</v>
      </c>
      <c r="P201">
        <f>Supermarket_Sales_Case_Study[[#This Row],[Quantity]]*Supermarket_Sales_Case_Study[[#This Row],[Sales_Amount]]</f>
        <v>603.17419143285997</v>
      </c>
    </row>
    <row r="202" spans="1:16" x14ac:dyDescent="0.3">
      <c r="A202" t="s">
        <v>232</v>
      </c>
      <c r="B202" t="s">
        <v>21</v>
      </c>
      <c r="C202" t="s">
        <v>36</v>
      </c>
      <c r="D202">
        <v>1573</v>
      </c>
      <c r="E202" t="s">
        <v>16</v>
      </c>
      <c r="F202" t="s">
        <v>17</v>
      </c>
      <c r="G202" t="s">
        <v>23</v>
      </c>
      <c r="H202" s="1">
        <v>45318</v>
      </c>
      <c r="I202">
        <v>278.12270605927301</v>
      </c>
      <c r="J202">
        <v>1</v>
      </c>
      <c r="K202">
        <v>278.12270605927301</v>
      </c>
      <c r="L202">
        <v>83.436811817782001</v>
      </c>
      <c r="M202" t="s">
        <v>34</v>
      </c>
      <c r="N202">
        <f>Supermarket_Sales_Case_Study[[#This Row],[Sales_Amount]]-Supermarket_Sales_Case_Study[[#This Row],[Profit]]</f>
        <v>194.68589424149101</v>
      </c>
      <c r="O202" s="2">
        <f>(Supermarket_Sales_Case_Study[[#This Row],[Sales_Amount]]-Supermarket_Sales_Case_Study[[#This Row],[Purchase]])/Supermarket_Sales_Case_Study[[#This Row],[Sales_Amount]]</f>
        <v>0.30000000000000032</v>
      </c>
      <c r="P202">
        <f>Supermarket_Sales_Case_Study[[#This Row],[Quantity]]*Supermarket_Sales_Case_Study[[#This Row],[Sales_Amount]]</f>
        <v>278.12270605927301</v>
      </c>
    </row>
    <row r="203" spans="1:16" x14ac:dyDescent="0.3">
      <c r="A203" t="s">
        <v>233</v>
      </c>
      <c r="B203" t="s">
        <v>39</v>
      </c>
      <c r="C203" t="s">
        <v>30</v>
      </c>
      <c r="D203">
        <v>1239</v>
      </c>
      <c r="E203" t="s">
        <v>16</v>
      </c>
      <c r="F203" t="s">
        <v>22</v>
      </c>
      <c r="G203" t="s">
        <v>33</v>
      </c>
      <c r="H203" s="1">
        <v>45344</v>
      </c>
      <c r="I203">
        <v>138.55888775998</v>
      </c>
      <c r="J203">
        <v>4</v>
      </c>
      <c r="K203">
        <v>554.23555103992305</v>
      </c>
      <c r="L203">
        <v>166.27066531197701</v>
      </c>
      <c r="M203" t="s">
        <v>19</v>
      </c>
      <c r="N203">
        <f>Supermarket_Sales_Case_Study[[#This Row],[Sales_Amount]]-Supermarket_Sales_Case_Study[[#This Row],[Profit]]</f>
        <v>387.96488572794601</v>
      </c>
      <c r="O203" s="2">
        <f>(Supermarket_Sales_Case_Study[[#This Row],[Sales_Amount]]-Supermarket_Sales_Case_Study[[#This Row],[Purchase]])/Supermarket_Sales_Case_Study[[#This Row],[Sales_Amount]]</f>
        <v>0.30000000000000021</v>
      </c>
      <c r="P203">
        <f>Supermarket_Sales_Case_Study[[#This Row],[Quantity]]*Supermarket_Sales_Case_Study[[#This Row],[Sales_Amount]]</f>
        <v>2216.9422041596922</v>
      </c>
    </row>
    <row r="204" spans="1:16" x14ac:dyDescent="0.3">
      <c r="A204" t="s">
        <v>234</v>
      </c>
      <c r="B204" t="s">
        <v>21</v>
      </c>
      <c r="C204" t="s">
        <v>36</v>
      </c>
      <c r="D204">
        <v>1089</v>
      </c>
      <c r="E204" t="s">
        <v>26</v>
      </c>
      <c r="F204" t="s">
        <v>17</v>
      </c>
      <c r="G204" t="s">
        <v>23</v>
      </c>
      <c r="H204" s="1">
        <v>45339</v>
      </c>
      <c r="I204">
        <v>170.480254481066</v>
      </c>
      <c r="J204">
        <v>7</v>
      </c>
      <c r="K204">
        <v>1193.36178136746</v>
      </c>
      <c r="L204">
        <v>358.00853441023997</v>
      </c>
      <c r="M204" t="s">
        <v>19</v>
      </c>
      <c r="N204">
        <f>Supermarket_Sales_Case_Study[[#This Row],[Sales_Amount]]-Supermarket_Sales_Case_Study[[#This Row],[Profit]]</f>
        <v>835.35324695722011</v>
      </c>
      <c r="O204" s="2">
        <f>(Supermarket_Sales_Case_Study[[#This Row],[Sales_Amount]]-Supermarket_Sales_Case_Study[[#This Row],[Purchase]])/Supermarket_Sales_Case_Study[[#This Row],[Sales_Amount]]</f>
        <v>0.3000000000000016</v>
      </c>
      <c r="P204">
        <f>Supermarket_Sales_Case_Study[[#This Row],[Quantity]]*Supermarket_Sales_Case_Study[[#This Row],[Sales_Amount]]</f>
        <v>8353.5324695722193</v>
      </c>
    </row>
    <row r="205" spans="1:16" x14ac:dyDescent="0.3">
      <c r="A205" t="s">
        <v>235</v>
      </c>
      <c r="B205" t="s">
        <v>39</v>
      </c>
      <c r="C205" t="s">
        <v>15</v>
      </c>
      <c r="D205">
        <v>1231</v>
      </c>
      <c r="E205" t="s">
        <v>26</v>
      </c>
      <c r="F205" t="s">
        <v>17</v>
      </c>
      <c r="G205" t="s">
        <v>33</v>
      </c>
      <c r="H205" s="1">
        <v>45298</v>
      </c>
      <c r="I205">
        <v>83.915852185315799</v>
      </c>
      <c r="J205">
        <v>7</v>
      </c>
      <c r="K205">
        <v>587.41096529721096</v>
      </c>
      <c r="L205">
        <v>176.22328958916299</v>
      </c>
      <c r="M205" t="s">
        <v>24</v>
      </c>
      <c r="N205">
        <f>Supermarket_Sales_Case_Study[[#This Row],[Sales_Amount]]-Supermarket_Sales_Case_Study[[#This Row],[Profit]]</f>
        <v>411.187675708048</v>
      </c>
      <c r="O205" s="2">
        <f>(Supermarket_Sales_Case_Study[[#This Row],[Sales_Amount]]-Supermarket_Sales_Case_Study[[#This Row],[Purchase]])/Supermarket_Sales_Case_Study[[#This Row],[Sales_Amount]]</f>
        <v>0.29999999999999943</v>
      </c>
      <c r="P205">
        <f>Supermarket_Sales_Case_Study[[#This Row],[Quantity]]*Supermarket_Sales_Case_Study[[#This Row],[Sales_Amount]]</f>
        <v>4111.8767570804766</v>
      </c>
    </row>
    <row r="206" spans="1:16" x14ac:dyDescent="0.3">
      <c r="A206" t="s">
        <v>236</v>
      </c>
      <c r="B206" t="s">
        <v>39</v>
      </c>
      <c r="C206" t="s">
        <v>15</v>
      </c>
      <c r="D206">
        <v>1456</v>
      </c>
      <c r="E206" t="s">
        <v>16</v>
      </c>
      <c r="F206" t="s">
        <v>17</v>
      </c>
      <c r="G206" t="s">
        <v>31</v>
      </c>
      <c r="H206" s="1">
        <v>45350</v>
      </c>
      <c r="I206">
        <v>225.33394152372199</v>
      </c>
      <c r="J206">
        <v>6</v>
      </c>
      <c r="K206">
        <v>1352.00364914233</v>
      </c>
      <c r="L206">
        <v>405.60109474270001</v>
      </c>
      <c r="M206" t="s">
        <v>19</v>
      </c>
      <c r="N206">
        <f>Supermarket_Sales_Case_Study[[#This Row],[Sales_Amount]]-Supermarket_Sales_Case_Study[[#This Row],[Profit]]</f>
        <v>946.40255439962993</v>
      </c>
      <c r="O206" s="2">
        <f>(Supermarket_Sales_Case_Study[[#This Row],[Sales_Amount]]-Supermarket_Sales_Case_Study[[#This Row],[Purchase]])/Supermarket_Sales_Case_Study[[#This Row],[Sales_Amount]]</f>
        <v>0.30000000000000077</v>
      </c>
      <c r="P206">
        <f>Supermarket_Sales_Case_Study[[#This Row],[Quantity]]*Supermarket_Sales_Case_Study[[#This Row],[Sales_Amount]]</f>
        <v>8112.0218948539805</v>
      </c>
    </row>
    <row r="207" spans="1:16" x14ac:dyDescent="0.3">
      <c r="A207" t="s">
        <v>237</v>
      </c>
      <c r="B207" t="s">
        <v>14</v>
      </c>
      <c r="C207" t="s">
        <v>30</v>
      </c>
      <c r="D207">
        <v>1232</v>
      </c>
      <c r="E207" t="s">
        <v>16</v>
      </c>
      <c r="F207" t="s">
        <v>22</v>
      </c>
      <c r="G207" t="s">
        <v>23</v>
      </c>
      <c r="H207" s="1">
        <v>45360</v>
      </c>
      <c r="I207">
        <v>32.224383877822099</v>
      </c>
      <c r="J207">
        <v>8</v>
      </c>
      <c r="K207">
        <v>257.79507102257702</v>
      </c>
      <c r="L207">
        <v>77.338521306773103</v>
      </c>
      <c r="M207" t="s">
        <v>24</v>
      </c>
      <c r="N207">
        <f>Supermarket_Sales_Case_Study[[#This Row],[Sales_Amount]]-Supermarket_Sales_Case_Study[[#This Row],[Profit]]</f>
        <v>180.45654971580393</v>
      </c>
      <c r="O207" s="2">
        <f>(Supermarket_Sales_Case_Study[[#This Row],[Sales_Amount]]-Supermarket_Sales_Case_Study[[#This Row],[Purchase]])/Supermarket_Sales_Case_Study[[#This Row],[Sales_Amount]]</f>
        <v>0.29999999999999993</v>
      </c>
      <c r="P207">
        <f>Supermarket_Sales_Case_Study[[#This Row],[Quantity]]*Supermarket_Sales_Case_Study[[#This Row],[Sales_Amount]]</f>
        <v>2062.3605681806162</v>
      </c>
    </row>
    <row r="208" spans="1:16" x14ac:dyDescent="0.3">
      <c r="A208" t="s">
        <v>238</v>
      </c>
      <c r="B208" t="s">
        <v>39</v>
      </c>
      <c r="C208" t="s">
        <v>36</v>
      </c>
      <c r="D208">
        <v>1353</v>
      </c>
      <c r="E208" t="s">
        <v>26</v>
      </c>
      <c r="F208" t="s">
        <v>17</v>
      </c>
      <c r="G208" t="s">
        <v>28</v>
      </c>
      <c r="H208" s="1">
        <v>45302</v>
      </c>
      <c r="I208">
        <v>263.06438273858203</v>
      </c>
      <c r="J208">
        <v>6</v>
      </c>
      <c r="K208">
        <v>1578.3862964314901</v>
      </c>
      <c r="L208">
        <v>473.51588892944801</v>
      </c>
      <c r="M208" t="s">
        <v>34</v>
      </c>
      <c r="N208">
        <f>Supermarket_Sales_Case_Study[[#This Row],[Sales_Amount]]-Supermarket_Sales_Case_Study[[#This Row],[Profit]]</f>
        <v>1104.8704075020421</v>
      </c>
      <c r="O208" s="2">
        <f>(Supermarket_Sales_Case_Study[[#This Row],[Sales_Amount]]-Supermarket_Sales_Case_Study[[#This Row],[Purchase]])/Supermarket_Sales_Case_Study[[#This Row],[Sales_Amount]]</f>
        <v>0.3000000000000006</v>
      </c>
      <c r="P208">
        <f>Supermarket_Sales_Case_Study[[#This Row],[Quantity]]*Supermarket_Sales_Case_Study[[#This Row],[Sales_Amount]]</f>
        <v>9470.3177785889402</v>
      </c>
    </row>
    <row r="209" spans="1:16" x14ac:dyDescent="0.3">
      <c r="A209" t="s">
        <v>239</v>
      </c>
      <c r="B209" t="s">
        <v>14</v>
      </c>
      <c r="C209" t="s">
        <v>30</v>
      </c>
      <c r="D209">
        <v>2004</v>
      </c>
      <c r="E209" t="s">
        <v>16</v>
      </c>
      <c r="F209" t="s">
        <v>22</v>
      </c>
      <c r="G209" t="s">
        <v>33</v>
      </c>
      <c r="H209" s="1">
        <v>45306</v>
      </c>
      <c r="I209">
        <v>250.153880411839</v>
      </c>
      <c r="J209">
        <v>3</v>
      </c>
      <c r="K209">
        <v>750.46164123551796</v>
      </c>
      <c r="L209">
        <v>225.138492370655</v>
      </c>
      <c r="M209" t="s">
        <v>19</v>
      </c>
      <c r="N209">
        <f>Supermarket_Sales_Case_Study[[#This Row],[Sales_Amount]]-Supermarket_Sales_Case_Study[[#This Row],[Profit]]</f>
        <v>525.32314886486301</v>
      </c>
      <c r="O209" s="2">
        <f>(Supermarket_Sales_Case_Study[[#This Row],[Sales_Amount]]-Supermarket_Sales_Case_Study[[#This Row],[Purchase]])/Supermarket_Sales_Case_Study[[#This Row],[Sales_Amount]]</f>
        <v>0.29999999999999943</v>
      </c>
      <c r="P209">
        <f>Supermarket_Sales_Case_Study[[#This Row],[Quantity]]*Supermarket_Sales_Case_Study[[#This Row],[Sales_Amount]]</f>
        <v>2251.3849237065538</v>
      </c>
    </row>
    <row r="210" spans="1:16" x14ac:dyDescent="0.3">
      <c r="A210" t="s">
        <v>240</v>
      </c>
      <c r="B210" t="s">
        <v>21</v>
      </c>
      <c r="C210" t="s">
        <v>30</v>
      </c>
      <c r="D210">
        <v>2356</v>
      </c>
      <c r="E210" t="s">
        <v>26</v>
      </c>
      <c r="F210" t="s">
        <v>17</v>
      </c>
      <c r="G210" t="s">
        <v>28</v>
      </c>
      <c r="H210" s="1">
        <v>45355</v>
      </c>
      <c r="I210">
        <v>72.657433710982204</v>
      </c>
      <c r="J210">
        <v>4</v>
      </c>
      <c r="K210">
        <v>290.62973484392899</v>
      </c>
      <c r="L210">
        <v>87.188920453178696</v>
      </c>
      <c r="M210" t="s">
        <v>34</v>
      </c>
      <c r="N210">
        <f>Supermarket_Sales_Case_Study[[#This Row],[Sales_Amount]]-Supermarket_Sales_Case_Study[[#This Row],[Profit]]</f>
        <v>203.44081439075029</v>
      </c>
      <c r="O210" s="2">
        <f>(Supermarket_Sales_Case_Study[[#This Row],[Sales_Amount]]-Supermarket_Sales_Case_Study[[#This Row],[Purchase]])/Supermarket_Sales_Case_Study[[#This Row],[Sales_Amount]]</f>
        <v>0.3</v>
      </c>
      <c r="P210">
        <f>Supermarket_Sales_Case_Study[[#This Row],[Quantity]]*Supermarket_Sales_Case_Study[[#This Row],[Sales_Amount]]</f>
        <v>1162.5189393757159</v>
      </c>
    </row>
    <row r="211" spans="1:16" x14ac:dyDescent="0.3">
      <c r="A211" t="s">
        <v>241</v>
      </c>
      <c r="B211" t="s">
        <v>21</v>
      </c>
      <c r="C211" t="s">
        <v>36</v>
      </c>
      <c r="D211">
        <v>1438</v>
      </c>
      <c r="E211" t="s">
        <v>26</v>
      </c>
      <c r="F211" t="s">
        <v>22</v>
      </c>
      <c r="G211" t="s">
        <v>18</v>
      </c>
      <c r="H211" s="1">
        <v>45294</v>
      </c>
      <c r="I211">
        <v>244.704075502726</v>
      </c>
      <c r="J211">
        <v>3</v>
      </c>
      <c r="K211">
        <v>734.11222650817797</v>
      </c>
      <c r="L211">
        <v>220.233667952453</v>
      </c>
      <c r="M211" t="s">
        <v>34</v>
      </c>
      <c r="N211">
        <f>Supermarket_Sales_Case_Study[[#This Row],[Sales_Amount]]-Supermarket_Sales_Case_Study[[#This Row],[Profit]]</f>
        <v>513.87855855572502</v>
      </c>
      <c r="O211" s="2">
        <f>(Supermarket_Sales_Case_Study[[#This Row],[Sales_Amount]]-Supermarket_Sales_Case_Study[[#This Row],[Purchase]])/Supermarket_Sales_Case_Study[[#This Row],[Sales_Amount]]</f>
        <v>0.29999999999999938</v>
      </c>
      <c r="P211">
        <f>Supermarket_Sales_Case_Study[[#This Row],[Quantity]]*Supermarket_Sales_Case_Study[[#This Row],[Sales_Amount]]</f>
        <v>2202.3366795245338</v>
      </c>
    </row>
    <row r="212" spans="1:16" x14ac:dyDescent="0.3">
      <c r="A212" t="s">
        <v>242</v>
      </c>
      <c r="B212" t="s">
        <v>21</v>
      </c>
      <c r="C212" t="s">
        <v>36</v>
      </c>
      <c r="D212">
        <v>2398</v>
      </c>
      <c r="E212" t="s">
        <v>26</v>
      </c>
      <c r="F212" t="s">
        <v>17</v>
      </c>
      <c r="G212" t="s">
        <v>33</v>
      </c>
      <c r="H212" s="1">
        <v>45360</v>
      </c>
      <c r="I212">
        <v>238.043742587829</v>
      </c>
      <c r="J212">
        <v>1</v>
      </c>
      <c r="K212">
        <v>238.043742587829</v>
      </c>
      <c r="L212">
        <v>71.4131227763488</v>
      </c>
      <c r="M212" t="s">
        <v>19</v>
      </c>
      <c r="N212">
        <f>Supermarket_Sales_Case_Study[[#This Row],[Sales_Amount]]-Supermarket_Sales_Case_Study[[#This Row],[Profit]]</f>
        <v>166.63061981148019</v>
      </c>
      <c r="O212" s="2">
        <f>(Supermarket_Sales_Case_Study[[#This Row],[Sales_Amount]]-Supermarket_Sales_Case_Study[[#This Row],[Purchase]])/Supermarket_Sales_Case_Study[[#This Row],[Sales_Amount]]</f>
        <v>0.30000000000000049</v>
      </c>
      <c r="P212">
        <f>Supermarket_Sales_Case_Study[[#This Row],[Quantity]]*Supermarket_Sales_Case_Study[[#This Row],[Sales_Amount]]</f>
        <v>238.043742587829</v>
      </c>
    </row>
    <row r="213" spans="1:16" x14ac:dyDescent="0.3">
      <c r="A213" t="s">
        <v>243</v>
      </c>
      <c r="B213" t="s">
        <v>21</v>
      </c>
      <c r="C213" t="s">
        <v>36</v>
      </c>
      <c r="D213">
        <v>2315</v>
      </c>
      <c r="E213" t="s">
        <v>26</v>
      </c>
      <c r="F213" t="s">
        <v>22</v>
      </c>
      <c r="G213" t="s">
        <v>23</v>
      </c>
      <c r="H213" s="1">
        <v>45314</v>
      </c>
      <c r="I213">
        <v>193.342813348645</v>
      </c>
      <c r="J213">
        <v>5</v>
      </c>
      <c r="K213">
        <v>966.714066743226</v>
      </c>
      <c r="L213">
        <v>290.01422002296698</v>
      </c>
      <c r="M213" t="s">
        <v>24</v>
      </c>
      <c r="N213">
        <f>Supermarket_Sales_Case_Study[[#This Row],[Sales_Amount]]-Supermarket_Sales_Case_Study[[#This Row],[Profit]]</f>
        <v>676.69984672025907</v>
      </c>
      <c r="O213" s="2">
        <f>(Supermarket_Sales_Case_Study[[#This Row],[Sales_Amount]]-Supermarket_Sales_Case_Study[[#This Row],[Purchase]])/Supermarket_Sales_Case_Study[[#This Row],[Sales_Amount]]</f>
        <v>0.2999999999999991</v>
      </c>
      <c r="P213">
        <f>Supermarket_Sales_Case_Study[[#This Row],[Quantity]]*Supermarket_Sales_Case_Study[[#This Row],[Sales_Amount]]</f>
        <v>4833.5703337161303</v>
      </c>
    </row>
    <row r="214" spans="1:16" x14ac:dyDescent="0.3">
      <c r="A214" t="s">
        <v>244</v>
      </c>
      <c r="B214" t="s">
        <v>14</v>
      </c>
      <c r="C214" t="s">
        <v>15</v>
      </c>
      <c r="D214">
        <v>1344</v>
      </c>
      <c r="E214" t="s">
        <v>16</v>
      </c>
      <c r="F214" t="s">
        <v>22</v>
      </c>
      <c r="G214" t="s">
        <v>33</v>
      </c>
      <c r="H214" s="1">
        <v>45344</v>
      </c>
      <c r="I214">
        <v>118.320851300909</v>
      </c>
      <c r="J214">
        <v>1</v>
      </c>
      <c r="K214">
        <v>118.320851300909</v>
      </c>
      <c r="L214">
        <v>35.4962553902728</v>
      </c>
      <c r="M214" t="s">
        <v>34</v>
      </c>
      <c r="N214">
        <f>Supermarket_Sales_Case_Study[[#This Row],[Sales_Amount]]-Supermarket_Sales_Case_Study[[#This Row],[Profit]]</f>
        <v>82.824595910636191</v>
      </c>
      <c r="O214" s="2">
        <f>(Supermarket_Sales_Case_Study[[#This Row],[Sales_Amount]]-Supermarket_Sales_Case_Study[[#This Row],[Purchase]])/Supermarket_Sales_Case_Study[[#This Row],[Sales_Amount]]</f>
        <v>0.30000000000000093</v>
      </c>
      <c r="P214">
        <f>Supermarket_Sales_Case_Study[[#This Row],[Quantity]]*Supermarket_Sales_Case_Study[[#This Row],[Sales_Amount]]</f>
        <v>118.320851300909</v>
      </c>
    </row>
    <row r="215" spans="1:16" x14ac:dyDescent="0.3">
      <c r="A215" t="s">
        <v>245</v>
      </c>
      <c r="B215" t="s">
        <v>21</v>
      </c>
      <c r="C215" t="s">
        <v>30</v>
      </c>
      <c r="D215">
        <v>1663</v>
      </c>
      <c r="E215" t="s">
        <v>26</v>
      </c>
      <c r="F215" t="s">
        <v>17</v>
      </c>
      <c r="G215" t="s">
        <v>28</v>
      </c>
      <c r="H215" s="1">
        <v>45328</v>
      </c>
      <c r="I215">
        <v>88.734638712741599</v>
      </c>
      <c r="J215">
        <v>1</v>
      </c>
      <c r="K215">
        <v>88.734638712741599</v>
      </c>
      <c r="L215">
        <v>26.620391613822498</v>
      </c>
      <c r="M215" t="s">
        <v>34</v>
      </c>
      <c r="N215">
        <f>Supermarket_Sales_Case_Study[[#This Row],[Sales_Amount]]-Supermarket_Sales_Case_Study[[#This Row],[Profit]]</f>
        <v>62.114247098919101</v>
      </c>
      <c r="O215" s="2">
        <f>(Supermarket_Sales_Case_Study[[#This Row],[Sales_Amount]]-Supermarket_Sales_Case_Study[[#This Row],[Purchase]])/Supermarket_Sales_Case_Study[[#This Row],[Sales_Amount]]</f>
        <v>0.30000000000000021</v>
      </c>
      <c r="P215">
        <f>Supermarket_Sales_Case_Study[[#This Row],[Quantity]]*Supermarket_Sales_Case_Study[[#This Row],[Sales_Amount]]</f>
        <v>88.734638712741599</v>
      </c>
    </row>
    <row r="216" spans="1:16" x14ac:dyDescent="0.3">
      <c r="A216" t="s">
        <v>246</v>
      </c>
      <c r="B216" t="s">
        <v>39</v>
      </c>
      <c r="C216" t="s">
        <v>30</v>
      </c>
      <c r="D216">
        <v>2451</v>
      </c>
      <c r="E216" t="s">
        <v>26</v>
      </c>
      <c r="F216" t="s">
        <v>22</v>
      </c>
      <c r="G216" t="s">
        <v>31</v>
      </c>
      <c r="H216" s="1">
        <v>45300</v>
      </c>
      <c r="I216">
        <v>77.217241183911497</v>
      </c>
      <c r="J216">
        <v>2</v>
      </c>
      <c r="K216">
        <v>154.43448236782299</v>
      </c>
      <c r="L216">
        <v>46.3303447103469</v>
      </c>
      <c r="M216" t="s">
        <v>19</v>
      </c>
      <c r="N216">
        <f>Supermarket_Sales_Case_Study[[#This Row],[Sales_Amount]]-Supermarket_Sales_Case_Study[[#This Row],[Profit]]</f>
        <v>108.10413765747609</v>
      </c>
      <c r="O216" s="2">
        <f>(Supermarket_Sales_Case_Study[[#This Row],[Sales_Amount]]-Supermarket_Sales_Case_Study[[#This Row],[Purchase]])/Supermarket_Sales_Case_Study[[#This Row],[Sales_Amount]]</f>
        <v>0.30000000000000004</v>
      </c>
      <c r="P216">
        <f>Supermarket_Sales_Case_Study[[#This Row],[Quantity]]*Supermarket_Sales_Case_Study[[#This Row],[Sales_Amount]]</f>
        <v>308.86896473564599</v>
      </c>
    </row>
    <row r="217" spans="1:16" x14ac:dyDescent="0.3">
      <c r="A217" t="s">
        <v>247</v>
      </c>
      <c r="B217" t="s">
        <v>39</v>
      </c>
      <c r="C217" t="s">
        <v>15</v>
      </c>
      <c r="D217">
        <v>1656</v>
      </c>
      <c r="E217" t="s">
        <v>16</v>
      </c>
      <c r="F217" t="s">
        <v>22</v>
      </c>
      <c r="G217" t="s">
        <v>33</v>
      </c>
      <c r="H217" s="1">
        <v>45306</v>
      </c>
      <c r="I217">
        <v>102.39659920144599</v>
      </c>
      <c r="J217">
        <v>4</v>
      </c>
      <c r="K217">
        <v>409.58639680578398</v>
      </c>
      <c r="L217">
        <v>122.875919041735</v>
      </c>
      <c r="M217" t="s">
        <v>19</v>
      </c>
      <c r="N217">
        <f>Supermarket_Sales_Case_Study[[#This Row],[Sales_Amount]]-Supermarket_Sales_Case_Study[[#This Row],[Profit]]</f>
        <v>286.71047776404896</v>
      </c>
      <c r="O217" s="2">
        <f>(Supermarket_Sales_Case_Study[[#This Row],[Sales_Amount]]-Supermarket_Sales_Case_Study[[#This Row],[Purchase]])/Supermarket_Sales_Case_Study[[#This Row],[Sales_Amount]]</f>
        <v>0.29999999999999954</v>
      </c>
      <c r="P217">
        <f>Supermarket_Sales_Case_Study[[#This Row],[Quantity]]*Supermarket_Sales_Case_Study[[#This Row],[Sales_Amount]]</f>
        <v>1638.3455872231359</v>
      </c>
    </row>
    <row r="218" spans="1:16" x14ac:dyDescent="0.3">
      <c r="A218" t="s">
        <v>248</v>
      </c>
      <c r="B218" t="s">
        <v>39</v>
      </c>
      <c r="C218" t="s">
        <v>36</v>
      </c>
      <c r="D218">
        <v>1129</v>
      </c>
      <c r="E218" t="s">
        <v>26</v>
      </c>
      <c r="F218" t="s">
        <v>22</v>
      </c>
      <c r="G218" t="s">
        <v>23</v>
      </c>
      <c r="H218" s="1">
        <v>45294</v>
      </c>
      <c r="I218">
        <v>272.03194859543299</v>
      </c>
      <c r="J218">
        <v>6</v>
      </c>
      <c r="K218">
        <v>1632.1916915725999</v>
      </c>
      <c r="L218">
        <v>489.65750747177998</v>
      </c>
      <c r="M218" t="s">
        <v>19</v>
      </c>
      <c r="N218">
        <f>Supermarket_Sales_Case_Study[[#This Row],[Sales_Amount]]-Supermarket_Sales_Case_Study[[#This Row],[Profit]]</f>
        <v>1142.5341841008199</v>
      </c>
      <c r="O218" s="2">
        <f>(Supermarket_Sales_Case_Study[[#This Row],[Sales_Amount]]-Supermarket_Sales_Case_Study[[#This Row],[Purchase]])/Supermarket_Sales_Case_Study[[#This Row],[Sales_Amount]]</f>
        <v>0.30000000000000004</v>
      </c>
      <c r="P218">
        <f>Supermarket_Sales_Case_Study[[#This Row],[Quantity]]*Supermarket_Sales_Case_Study[[#This Row],[Sales_Amount]]</f>
        <v>9793.1501494355998</v>
      </c>
    </row>
    <row r="219" spans="1:16" x14ac:dyDescent="0.3">
      <c r="A219" t="s">
        <v>249</v>
      </c>
      <c r="B219" t="s">
        <v>14</v>
      </c>
      <c r="C219" t="s">
        <v>15</v>
      </c>
      <c r="D219">
        <v>1140</v>
      </c>
      <c r="E219" t="s">
        <v>16</v>
      </c>
      <c r="F219" t="s">
        <v>22</v>
      </c>
      <c r="G219" t="s">
        <v>18</v>
      </c>
      <c r="H219" s="1">
        <v>45361</v>
      </c>
      <c r="I219">
        <v>32.515825036746499</v>
      </c>
      <c r="J219">
        <v>8</v>
      </c>
      <c r="K219">
        <v>260.12660029397199</v>
      </c>
      <c r="L219">
        <v>78.037980088191702</v>
      </c>
      <c r="M219" t="s">
        <v>19</v>
      </c>
      <c r="N219">
        <f>Supermarket_Sales_Case_Study[[#This Row],[Sales_Amount]]-Supermarket_Sales_Case_Study[[#This Row],[Profit]]</f>
        <v>182.08862020578027</v>
      </c>
      <c r="O219" s="2">
        <f>(Supermarket_Sales_Case_Study[[#This Row],[Sales_Amount]]-Supermarket_Sales_Case_Study[[#This Row],[Purchase]])/Supermarket_Sales_Case_Study[[#This Row],[Sales_Amount]]</f>
        <v>0.30000000000000043</v>
      </c>
      <c r="P219">
        <f>Supermarket_Sales_Case_Study[[#This Row],[Quantity]]*Supermarket_Sales_Case_Study[[#This Row],[Sales_Amount]]</f>
        <v>2081.0128023517759</v>
      </c>
    </row>
    <row r="220" spans="1:16" x14ac:dyDescent="0.3">
      <c r="A220" t="s">
        <v>250</v>
      </c>
      <c r="B220" t="s">
        <v>21</v>
      </c>
      <c r="C220" t="s">
        <v>15</v>
      </c>
      <c r="D220">
        <v>1414</v>
      </c>
      <c r="E220" t="s">
        <v>16</v>
      </c>
      <c r="F220" t="s">
        <v>22</v>
      </c>
      <c r="G220" t="s">
        <v>37</v>
      </c>
      <c r="H220" s="1">
        <v>45308</v>
      </c>
      <c r="I220">
        <v>250.372670113358</v>
      </c>
      <c r="J220">
        <v>3</v>
      </c>
      <c r="K220">
        <v>751.11801034007397</v>
      </c>
      <c r="L220">
        <v>225.33540310202201</v>
      </c>
      <c r="M220" t="s">
        <v>19</v>
      </c>
      <c r="N220">
        <f>Supermarket_Sales_Case_Study[[#This Row],[Sales_Amount]]-Supermarket_Sales_Case_Study[[#This Row],[Profit]]</f>
        <v>525.78260723805192</v>
      </c>
      <c r="O220" s="2">
        <f>(Supermarket_Sales_Case_Study[[#This Row],[Sales_Amount]]-Supermarket_Sales_Case_Study[[#This Row],[Purchase]])/Supermarket_Sales_Case_Study[[#This Row],[Sales_Amount]]</f>
        <v>0.29999999999999982</v>
      </c>
      <c r="P220">
        <f>Supermarket_Sales_Case_Study[[#This Row],[Quantity]]*Supermarket_Sales_Case_Study[[#This Row],[Sales_Amount]]</f>
        <v>2253.354031020222</v>
      </c>
    </row>
    <row r="221" spans="1:16" x14ac:dyDescent="0.3">
      <c r="A221" t="s">
        <v>251</v>
      </c>
      <c r="B221" t="s">
        <v>21</v>
      </c>
      <c r="C221" t="s">
        <v>15</v>
      </c>
      <c r="D221">
        <v>2116</v>
      </c>
      <c r="E221" t="s">
        <v>16</v>
      </c>
      <c r="F221" t="s">
        <v>22</v>
      </c>
      <c r="G221" t="s">
        <v>31</v>
      </c>
      <c r="H221" s="1">
        <v>45317</v>
      </c>
      <c r="I221">
        <v>111.178121762128</v>
      </c>
      <c r="J221">
        <v>1</v>
      </c>
      <c r="K221">
        <v>111.178121762128</v>
      </c>
      <c r="L221">
        <v>33.353436528638603</v>
      </c>
      <c r="M221" t="s">
        <v>19</v>
      </c>
      <c r="N221">
        <f>Supermarket_Sales_Case_Study[[#This Row],[Sales_Amount]]-Supermarket_Sales_Case_Study[[#This Row],[Profit]]</f>
        <v>77.82468523348939</v>
      </c>
      <c r="O221" s="2">
        <f>(Supermarket_Sales_Case_Study[[#This Row],[Sales_Amount]]-Supermarket_Sales_Case_Study[[#This Row],[Purchase]])/Supermarket_Sales_Case_Study[[#This Row],[Sales_Amount]]</f>
        <v>0.30000000000000188</v>
      </c>
      <c r="P221">
        <f>Supermarket_Sales_Case_Study[[#This Row],[Quantity]]*Supermarket_Sales_Case_Study[[#This Row],[Sales_Amount]]</f>
        <v>111.178121762128</v>
      </c>
    </row>
    <row r="222" spans="1:16" x14ac:dyDescent="0.3">
      <c r="A222" t="s">
        <v>252</v>
      </c>
      <c r="B222" t="s">
        <v>21</v>
      </c>
      <c r="C222" t="s">
        <v>30</v>
      </c>
      <c r="D222">
        <v>1625</v>
      </c>
      <c r="E222" t="s">
        <v>26</v>
      </c>
      <c r="F222" t="s">
        <v>22</v>
      </c>
      <c r="G222" t="s">
        <v>18</v>
      </c>
      <c r="H222" s="1">
        <v>45312</v>
      </c>
      <c r="I222">
        <v>161.26382484329301</v>
      </c>
      <c r="J222">
        <v>3</v>
      </c>
      <c r="K222">
        <v>483.79147452988099</v>
      </c>
      <c r="L222">
        <v>145.13744235896399</v>
      </c>
      <c r="M222" t="s">
        <v>24</v>
      </c>
      <c r="N222">
        <f>Supermarket_Sales_Case_Study[[#This Row],[Sales_Amount]]-Supermarket_Sales_Case_Study[[#This Row],[Profit]]</f>
        <v>338.65403217091699</v>
      </c>
      <c r="O222" s="2">
        <f>(Supermarket_Sales_Case_Study[[#This Row],[Sales_Amount]]-Supermarket_Sales_Case_Study[[#This Row],[Purchase]])/Supermarket_Sales_Case_Study[[#This Row],[Sales_Amount]]</f>
        <v>0.29999999999999938</v>
      </c>
      <c r="P222">
        <f>Supermarket_Sales_Case_Study[[#This Row],[Quantity]]*Supermarket_Sales_Case_Study[[#This Row],[Sales_Amount]]</f>
        <v>1451.3744235896429</v>
      </c>
    </row>
    <row r="223" spans="1:16" x14ac:dyDescent="0.3">
      <c r="A223" t="s">
        <v>253</v>
      </c>
      <c r="B223" t="s">
        <v>14</v>
      </c>
      <c r="C223" t="s">
        <v>15</v>
      </c>
      <c r="D223">
        <v>1283</v>
      </c>
      <c r="E223" t="s">
        <v>16</v>
      </c>
      <c r="F223" t="s">
        <v>22</v>
      </c>
      <c r="G223" t="s">
        <v>33</v>
      </c>
      <c r="H223" s="1">
        <v>45363</v>
      </c>
      <c r="I223">
        <v>240.40083375806199</v>
      </c>
      <c r="J223">
        <v>3</v>
      </c>
      <c r="K223">
        <v>721.20250127418694</v>
      </c>
      <c r="L223">
        <v>216.36075038225599</v>
      </c>
      <c r="M223" t="s">
        <v>34</v>
      </c>
      <c r="N223">
        <f>Supermarket_Sales_Case_Study[[#This Row],[Sales_Amount]]-Supermarket_Sales_Case_Study[[#This Row],[Profit]]</f>
        <v>504.84175089193093</v>
      </c>
      <c r="O223" s="2">
        <f>(Supermarket_Sales_Case_Study[[#This Row],[Sales_Amount]]-Supermarket_Sales_Case_Study[[#This Row],[Purchase]])/Supermarket_Sales_Case_Study[[#This Row],[Sales_Amount]]</f>
        <v>0.29999999999999988</v>
      </c>
      <c r="P223">
        <f>Supermarket_Sales_Case_Study[[#This Row],[Quantity]]*Supermarket_Sales_Case_Study[[#This Row],[Sales_Amount]]</f>
        <v>2163.6075038225608</v>
      </c>
    </row>
    <row r="224" spans="1:16" x14ac:dyDescent="0.3">
      <c r="A224" t="s">
        <v>254</v>
      </c>
      <c r="B224" t="s">
        <v>39</v>
      </c>
      <c r="C224" t="s">
        <v>30</v>
      </c>
      <c r="D224">
        <v>1222</v>
      </c>
      <c r="E224" t="s">
        <v>16</v>
      </c>
      <c r="F224" t="s">
        <v>17</v>
      </c>
      <c r="G224" t="s">
        <v>28</v>
      </c>
      <c r="H224" s="1">
        <v>45312</v>
      </c>
      <c r="I224">
        <v>266.46919863666102</v>
      </c>
      <c r="J224">
        <v>5</v>
      </c>
      <c r="K224">
        <v>1332.3459931832999</v>
      </c>
      <c r="L224">
        <v>399.70379795499201</v>
      </c>
      <c r="M224" t="s">
        <v>24</v>
      </c>
      <c r="N224">
        <f>Supermarket_Sales_Case_Study[[#This Row],[Sales_Amount]]-Supermarket_Sales_Case_Study[[#This Row],[Profit]]</f>
        <v>932.64219522830786</v>
      </c>
      <c r="O224" s="2">
        <f>(Supermarket_Sales_Case_Study[[#This Row],[Sales_Amount]]-Supermarket_Sales_Case_Study[[#This Row],[Purchase]])/Supermarket_Sales_Case_Study[[#This Row],[Sales_Amount]]</f>
        <v>0.30000000000000154</v>
      </c>
      <c r="P224">
        <f>Supermarket_Sales_Case_Study[[#This Row],[Quantity]]*Supermarket_Sales_Case_Study[[#This Row],[Sales_Amount]]</f>
        <v>6661.7299659165001</v>
      </c>
    </row>
    <row r="225" spans="1:16" x14ac:dyDescent="0.3">
      <c r="A225" t="s">
        <v>255</v>
      </c>
      <c r="B225" t="s">
        <v>39</v>
      </c>
      <c r="C225" t="s">
        <v>30</v>
      </c>
      <c r="D225">
        <v>1743</v>
      </c>
      <c r="E225" t="s">
        <v>26</v>
      </c>
      <c r="F225" t="s">
        <v>17</v>
      </c>
      <c r="G225" t="s">
        <v>28</v>
      </c>
      <c r="H225" s="1">
        <v>45302</v>
      </c>
      <c r="I225">
        <v>109.986611821067</v>
      </c>
      <c r="J225">
        <v>4</v>
      </c>
      <c r="K225">
        <v>439.94644728426999</v>
      </c>
      <c r="L225">
        <v>131.98393418528099</v>
      </c>
      <c r="M225" t="s">
        <v>24</v>
      </c>
      <c r="N225">
        <f>Supermarket_Sales_Case_Study[[#This Row],[Sales_Amount]]-Supermarket_Sales_Case_Study[[#This Row],[Profit]]</f>
        <v>307.96251309898901</v>
      </c>
      <c r="O225" s="2">
        <f>(Supermarket_Sales_Case_Study[[#This Row],[Sales_Amount]]-Supermarket_Sales_Case_Study[[#This Row],[Purchase]])/Supermarket_Sales_Case_Study[[#This Row],[Sales_Amount]]</f>
        <v>0.3</v>
      </c>
      <c r="P225">
        <f>Supermarket_Sales_Case_Study[[#This Row],[Quantity]]*Supermarket_Sales_Case_Study[[#This Row],[Sales_Amount]]</f>
        <v>1759.78578913708</v>
      </c>
    </row>
    <row r="226" spans="1:16" x14ac:dyDescent="0.3">
      <c r="A226" t="s">
        <v>256</v>
      </c>
      <c r="B226" t="s">
        <v>21</v>
      </c>
      <c r="C226" t="s">
        <v>30</v>
      </c>
      <c r="D226">
        <v>1462</v>
      </c>
      <c r="E226" t="s">
        <v>16</v>
      </c>
      <c r="F226" t="s">
        <v>22</v>
      </c>
      <c r="G226" t="s">
        <v>23</v>
      </c>
      <c r="H226" s="1">
        <v>45329</v>
      </c>
      <c r="I226">
        <v>143.934609569782</v>
      </c>
      <c r="J226">
        <v>4</v>
      </c>
      <c r="K226">
        <v>575.73843827912799</v>
      </c>
      <c r="L226">
        <v>172.721531483738</v>
      </c>
      <c r="M226" t="s">
        <v>19</v>
      </c>
      <c r="N226">
        <f>Supermarket_Sales_Case_Study[[#This Row],[Sales_Amount]]-Supermarket_Sales_Case_Study[[#This Row],[Profit]]</f>
        <v>403.01690679539001</v>
      </c>
      <c r="O226" s="2">
        <f>(Supermarket_Sales_Case_Study[[#This Row],[Sales_Amount]]-Supermarket_Sales_Case_Study[[#This Row],[Purchase]])/Supermarket_Sales_Case_Study[[#This Row],[Sales_Amount]]</f>
        <v>0.29999999999999927</v>
      </c>
      <c r="P226">
        <f>Supermarket_Sales_Case_Study[[#This Row],[Quantity]]*Supermarket_Sales_Case_Study[[#This Row],[Sales_Amount]]</f>
        <v>2302.953753116512</v>
      </c>
    </row>
    <row r="227" spans="1:16" x14ac:dyDescent="0.3">
      <c r="A227" t="s">
        <v>257</v>
      </c>
      <c r="B227" t="s">
        <v>39</v>
      </c>
      <c r="C227" t="s">
        <v>36</v>
      </c>
      <c r="D227">
        <v>2299</v>
      </c>
      <c r="E227" t="s">
        <v>16</v>
      </c>
      <c r="F227" t="s">
        <v>22</v>
      </c>
      <c r="G227" t="s">
        <v>28</v>
      </c>
      <c r="H227" s="1">
        <v>45363</v>
      </c>
      <c r="I227">
        <v>130.20965879686901</v>
      </c>
      <c r="J227">
        <v>9</v>
      </c>
      <c r="K227">
        <v>1171.8869291718199</v>
      </c>
      <c r="L227">
        <v>351.56607875154799</v>
      </c>
      <c r="M227" t="s">
        <v>34</v>
      </c>
      <c r="N227">
        <f>Supermarket_Sales_Case_Study[[#This Row],[Sales_Amount]]-Supermarket_Sales_Case_Study[[#This Row],[Profit]]</f>
        <v>820.32085042027188</v>
      </c>
      <c r="O227" s="2">
        <f>(Supermarket_Sales_Case_Study[[#This Row],[Sales_Amount]]-Supermarket_Sales_Case_Study[[#This Row],[Purchase]])/Supermarket_Sales_Case_Study[[#This Row],[Sales_Amount]]</f>
        <v>0.30000000000000177</v>
      </c>
      <c r="P227">
        <f>Supermarket_Sales_Case_Study[[#This Row],[Quantity]]*Supermarket_Sales_Case_Study[[#This Row],[Sales_Amount]]</f>
        <v>10546.98236254638</v>
      </c>
    </row>
    <row r="228" spans="1:16" x14ac:dyDescent="0.3">
      <c r="A228" t="s">
        <v>258</v>
      </c>
      <c r="B228" t="s">
        <v>39</v>
      </c>
      <c r="C228" t="s">
        <v>30</v>
      </c>
      <c r="D228">
        <v>2163</v>
      </c>
      <c r="E228" t="s">
        <v>16</v>
      </c>
      <c r="F228" t="s">
        <v>17</v>
      </c>
      <c r="G228" t="s">
        <v>31</v>
      </c>
      <c r="H228" s="1">
        <v>45379</v>
      </c>
      <c r="I228">
        <v>13.842799716134</v>
      </c>
      <c r="J228">
        <v>7</v>
      </c>
      <c r="K228">
        <v>96.899598012938398</v>
      </c>
      <c r="L228">
        <v>29.069879403881501</v>
      </c>
      <c r="M228" t="s">
        <v>24</v>
      </c>
      <c r="N228">
        <f>Supermarket_Sales_Case_Study[[#This Row],[Sales_Amount]]-Supermarket_Sales_Case_Study[[#This Row],[Profit]]</f>
        <v>67.829718609056897</v>
      </c>
      <c r="O228" s="2">
        <f>(Supermarket_Sales_Case_Study[[#This Row],[Sales_Amount]]-Supermarket_Sales_Case_Study[[#This Row],[Purchase]])/Supermarket_Sales_Case_Study[[#This Row],[Sales_Amount]]</f>
        <v>0.29999999999999982</v>
      </c>
      <c r="P228">
        <f>Supermarket_Sales_Case_Study[[#This Row],[Quantity]]*Supermarket_Sales_Case_Study[[#This Row],[Sales_Amount]]</f>
        <v>678.29718609056874</v>
      </c>
    </row>
    <row r="229" spans="1:16" x14ac:dyDescent="0.3">
      <c r="A229" t="s">
        <v>259</v>
      </c>
      <c r="B229" t="s">
        <v>14</v>
      </c>
      <c r="C229" t="s">
        <v>30</v>
      </c>
      <c r="D229">
        <v>1356</v>
      </c>
      <c r="E229" t="s">
        <v>16</v>
      </c>
      <c r="F229" t="s">
        <v>17</v>
      </c>
      <c r="G229" t="s">
        <v>28</v>
      </c>
      <c r="H229" s="1">
        <v>45326</v>
      </c>
      <c r="I229">
        <v>95.823437769010397</v>
      </c>
      <c r="J229">
        <v>4</v>
      </c>
      <c r="K229">
        <v>383.29375107604102</v>
      </c>
      <c r="L229">
        <v>114.988125322812</v>
      </c>
      <c r="M229" t="s">
        <v>19</v>
      </c>
      <c r="N229">
        <f>Supermarket_Sales_Case_Study[[#This Row],[Sales_Amount]]-Supermarket_Sales_Case_Study[[#This Row],[Profit]]</f>
        <v>268.30562575322904</v>
      </c>
      <c r="O229" s="2">
        <f>(Supermarket_Sales_Case_Study[[#This Row],[Sales_Amount]]-Supermarket_Sales_Case_Study[[#This Row],[Purchase]])/Supermarket_Sales_Case_Study[[#This Row],[Sales_Amount]]</f>
        <v>0.29999999999999916</v>
      </c>
      <c r="P229">
        <f>Supermarket_Sales_Case_Study[[#This Row],[Quantity]]*Supermarket_Sales_Case_Study[[#This Row],[Sales_Amount]]</f>
        <v>1533.1750043041641</v>
      </c>
    </row>
    <row r="230" spans="1:16" x14ac:dyDescent="0.3">
      <c r="A230" t="s">
        <v>260</v>
      </c>
      <c r="B230" t="s">
        <v>14</v>
      </c>
      <c r="C230" t="s">
        <v>36</v>
      </c>
      <c r="D230">
        <v>2046</v>
      </c>
      <c r="E230" t="s">
        <v>16</v>
      </c>
      <c r="F230" t="s">
        <v>17</v>
      </c>
      <c r="G230" t="s">
        <v>23</v>
      </c>
      <c r="H230" s="1">
        <v>45305</v>
      </c>
      <c r="I230">
        <v>143.16487778244201</v>
      </c>
      <c r="J230">
        <v>3</v>
      </c>
      <c r="K230">
        <v>429.49463334732798</v>
      </c>
      <c r="L230">
        <v>128.848390004198</v>
      </c>
      <c r="M230" t="s">
        <v>19</v>
      </c>
      <c r="N230">
        <f>Supermarket_Sales_Case_Study[[#This Row],[Sales_Amount]]-Supermarket_Sales_Case_Study[[#This Row],[Profit]]</f>
        <v>300.64624334312998</v>
      </c>
      <c r="O230" s="2">
        <f>(Supermarket_Sales_Case_Study[[#This Row],[Sales_Amount]]-Supermarket_Sales_Case_Study[[#This Row],[Purchase]])/Supermarket_Sales_Case_Study[[#This Row],[Sales_Amount]]</f>
        <v>0.2999999999999991</v>
      </c>
      <c r="P230">
        <f>Supermarket_Sales_Case_Study[[#This Row],[Quantity]]*Supermarket_Sales_Case_Study[[#This Row],[Sales_Amount]]</f>
        <v>1288.4839000419838</v>
      </c>
    </row>
    <row r="231" spans="1:16" x14ac:dyDescent="0.3">
      <c r="A231" t="s">
        <v>261</v>
      </c>
      <c r="B231" t="s">
        <v>14</v>
      </c>
      <c r="C231" t="s">
        <v>30</v>
      </c>
      <c r="D231">
        <v>2293</v>
      </c>
      <c r="E231" t="s">
        <v>26</v>
      </c>
      <c r="F231" t="s">
        <v>22</v>
      </c>
      <c r="G231" t="s">
        <v>37</v>
      </c>
      <c r="H231" s="1">
        <v>45305</v>
      </c>
      <c r="I231">
        <v>129.21714657532701</v>
      </c>
      <c r="J231">
        <v>6</v>
      </c>
      <c r="K231">
        <v>775.30287945196505</v>
      </c>
      <c r="L231">
        <v>232.590863835589</v>
      </c>
      <c r="M231" t="s">
        <v>34</v>
      </c>
      <c r="N231">
        <f>Supermarket_Sales_Case_Study[[#This Row],[Sales_Amount]]-Supermarket_Sales_Case_Study[[#This Row],[Profit]]</f>
        <v>542.71201561637599</v>
      </c>
      <c r="O231" s="2">
        <f>(Supermarket_Sales_Case_Study[[#This Row],[Sales_Amount]]-Supermarket_Sales_Case_Study[[#This Row],[Purchase]])/Supermarket_Sales_Case_Study[[#This Row],[Sales_Amount]]</f>
        <v>0.29999999999999943</v>
      </c>
      <c r="P231">
        <f>Supermarket_Sales_Case_Study[[#This Row],[Quantity]]*Supermarket_Sales_Case_Study[[#This Row],[Sales_Amount]]</f>
        <v>4651.8172767117903</v>
      </c>
    </row>
    <row r="232" spans="1:16" x14ac:dyDescent="0.3">
      <c r="A232" t="s">
        <v>262</v>
      </c>
      <c r="B232" t="s">
        <v>14</v>
      </c>
      <c r="C232" t="s">
        <v>15</v>
      </c>
      <c r="D232">
        <v>1858</v>
      </c>
      <c r="E232" t="s">
        <v>16</v>
      </c>
      <c r="F232" t="s">
        <v>17</v>
      </c>
      <c r="G232" t="s">
        <v>33</v>
      </c>
      <c r="H232" s="1">
        <v>45301</v>
      </c>
      <c r="I232">
        <v>219.359475979547</v>
      </c>
      <c r="J232">
        <v>3</v>
      </c>
      <c r="K232">
        <v>658.07842793864097</v>
      </c>
      <c r="L232">
        <v>197.42352838159201</v>
      </c>
      <c r="M232" t="s">
        <v>24</v>
      </c>
      <c r="N232">
        <f>Supermarket_Sales_Case_Study[[#This Row],[Sales_Amount]]-Supermarket_Sales_Case_Study[[#This Row],[Profit]]</f>
        <v>460.65489955704896</v>
      </c>
      <c r="O232" s="2">
        <f>(Supermarket_Sales_Case_Study[[#This Row],[Sales_Amount]]-Supermarket_Sales_Case_Study[[#This Row],[Purchase]])/Supermarket_Sales_Case_Study[[#This Row],[Sales_Amount]]</f>
        <v>0.29999999999999954</v>
      </c>
      <c r="P232">
        <f>Supermarket_Sales_Case_Study[[#This Row],[Quantity]]*Supermarket_Sales_Case_Study[[#This Row],[Sales_Amount]]</f>
        <v>1974.2352838159229</v>
      </c>
    </row>
    <row r="233" spans="1:16" x14ac:dyDescent="0.3">
      <c r="A233" t="s">
        <v>263</v>
      </c>
      <c r="B233" t="s">
        <v>21</v>
      </c>
      <c r="C233" t="s">
        <v>15</v>
      </c>
      <c r="D233">
        <v>1664</v>
      </c>
      <c r="E233" t="s">
        <v>16</v>
      </c>
      <c r="F233" t="s">
        <v>22</v>
      </c>
      <c r="G233" t="s">
        <v>33</v>
      </c>
      <c r="H233" s="1">
        <v>45303</v>
      </c>
      <c r="I233">
        <v>121.593048994119</v>
      </c>
      <c r="J233">
        <v>6</v>
      </c>
      <c r="K233">
        <v>729.55829396471904</v>
      </c>
      <c r="L233">
        <v>218.86748818941501</v>
      </c>
      <c r="M233" t="s">
        <v>24</v>
      </c>
      <c r="N233">
        <f>Supermarket_Sales_Case_Study[[#This Row],[Sales_Amount]]-Supermarket_Sales_Case_Study[[#This Row],[Profit]]</f>
        <v>510.69080577530406</v>
      </c>
      <c r="O233" s="2">
        <f>(Supermarket_Sales_Case_Study[[#This Row],[Sales_Amount]]-Supermarket_Sales_Case_Study[[#This Row],[Purchase]])/Supermarket_Sales_Case_Study[[#This Row],[Sales_Amount]]</f>
        <v>0.29999999999999899</v>
      </c>
      <c r="P233">
        <f>Supermarket_Sales_Case_Study[[#This Row],[Quantity]]*Supermarket_Sales_Case_Study[[#This Row],[Sales_Amount]]</f>
        <v>4377.3497637883138</v>
      </c>
    </row>
    <row r="234" spans="1:16" x14ac:dyDescent="0.3">
      <c r="A234" t="s">
        <v>264</v>
      </c>
      <c r="B234" t="s">
        <v>14</v>
      </c>
      <c r="C234" t="s">
        <v>30</v>
      </c>
      <c r="D234">
        <v>2356</v>
      </c>
      <c r="E234" t="s">
        <v>26</v>
      </c>
      <c r="F234" t="s">
        <v>22</v>
      </c>
      <c r="G234" t="s">
        <v>28</v>
      </c>
      <c r="H234" s="1">
        <v>45329</v>
      </c>
      <c r="I234">
        <v>151.91917020149401</v>
      </c>
      <c r="J234">
        <v>9</v>
      </c>
      <c r="K234">
        <v>1367.2725318134401</v>
      </c>
      <c r="L234">
        <v>410.18175954403398</v>
      </c>
      <c r="M234" t="s">
        <v>24</v>
      </c>
      <c r="N234">
        <f>Supermarket_Sales_Case_Study[[#This Row],[Sales_Amount]]-Supermarket_Sales_Case_Study[[#This Row],[Profit]]</f>
        <v>957.0907722694061</v>
      </c>
      <c r="O234" s="2">
        <f>(Supermarket_Sales_Case_Study[[#This Row],[Sales_Amount]]-Supermarket_Sales_Case_Study[[#This Row],[Purchase]])/Supermarket_Sales_Case_Study[[#This Row],[Sales_Amount]]</f>
        <v>0.30000000000000143</v>
      </c>
      <c r="P234">
        <f>Supermarket_Sales_Case_Study[[#This Row],[Quantity]]*Supermarket_Sales_Case_Study[[#This Row],[Sales_Amount]]</f>
        <v>12305.452786320961</v>
      </c>
    </row>
    <row r="235" spans="1:16" x14ac:dyDescent="0.3">
      <c r="A235" t="s">
        <v>265</v>
      </c>
      <c r="B235" t="s">
        <v>39</v>
      </c>
      <c r="C235" t="s">
        <v>36</v>
      </c>
      <c r="D235">
        <v>2014</v>
      </c>
      <c r="E235" t="s">
        <v>26</v>
      </c>
      <c r="F235" t="s">
        <v>17</v>
      </c>
      <c r="G235" t="s">
        <v>18</v>
      </c>
      <c r="H235" s="1">
        <v>45325</v>
      </c>
      <c r="I235">
        <v>134.58649171838499</v>
      </c>
      <c r="J235">
        <v>6</v>
      </c>
      <c r="K235">
        <v>807.51895031031199</v>
      </c>
      <c r="L235">
        <v>242.25568509309301</v>
      </c>
      <c r="M235" t="s">
        <v>19</v>
      </c>
      <c r="N235">
        <f>Supermarket_Sales_Case_Study[[#This Row],[Sales_Amount]]-Supermarket_Sales_Case_Study[[#This Row],[Profit]]</f>
        <v>565.26326521721899</v>
      </c>
      <c r="O235" s="2">
        <f>(Supermarket_Sales_Case_Study[[#This Row],[Sales_Amount]]-Supermarket_Sales_Case_Study[[#This Row],[Purchase]])/Supermarket_Sales_Case_Study[[#This Row],[Sales_Amount]]</f>
        <v>0.29999999999999927</v>
      </c>
      <c r="P235">
        <f>Supermarket_Sales_Case_Study[[#This Row],[Quantity]]*Supermarket_Sales_Case_Study[[#This Row],[Sales_Amount]]</f>
        <v>4845.113701861872</v>
      </c>
    </row>
    <row r="236" spans="1:16" x14ac:dyDescent="0.3">
      <c r="A236" t="s">
        <v>266</v>
      </c>
      <c r="B236" t="s">
        <v>21</v>
      </c>
      <c r="C236" t="s">
        <v>15</v>
      </c>
      <c r="D236">
        <v>1084</v>
      </c>
      <c r="E236" t="s">
        <v>26</v>
      </c>
      <c r="F236" t="s">
        <v>22</v>
      </c>
      <c r="G236" t="s">
        <v>33</v>
      </c>
      <c r="H236" s="1">
        <v>45332</v>
      </c>
      <c r="I236">
        <v>224.781583179367</v>
      </c>
      <c r="J236">
        <v>4</v>
      </c>
      <c r="K236">
        <v>899.12633271746904</v>
      </c>
      <c r="L236">
        <v>269.73789981523998</v>
      </c>
      <c r="M236" t="s">
        <v>34</v>
      </c>
      <c r="N236">
        <f>Supermarket_Sales_Case_Study[[#This Row],[Sales_Amount]]-Supermarket_Sales_Case_Study[[#This Row],[Profit]]</f>
        <v>629.38843290222906</v>
      </c>
      <c r="O236" s="2">
        <f>(Supermarket_Sales_Case_Study[[#This Row],[Sales_Amount]]-Supermarket_Sales_Case_Study[[#This Row],[Purchase]])/Supermarket_Sales_Case_Study[[#This Row],[Sales_Amount]]</f>
        <v>0.29999999999999921</v>
      </c>
      <c r="P236">
        <f>Supermarket_Sales_Case_Study[[#This Row],[Quantity]]*Supermarket_Sales_Case_Study[[#This Row],[Sales_Amount]]</f>
        <v>3596.5053308698762</v>
      </c>
    </row>
    <row r="237" spans="1:16" x14ac:dyDescent="0.3">
      <c r="A237" t="s">
        <v>267</v>
      </c>
      <c r="B237" t="s">
        <v>39</v>
      </c>
      <c r="C237" t="s">
        <v>36</v>
      </c>
      <c r="D237">
        <v>1620</v>
      </c>
      <c r="E237" t="s">
        <v>16</v>
      </c>
      <c r="F237" t="s">
        <v>22</v>
      </c>
      <c r="G237" t="s">
        <v>37</v>
      </c>
      <c r="H237" s="1">
        <v>45301</v>
      </c>
      <c r="I237">
        <v>260.26199570621901</v>
      </c>
      <c r="J237">
        <v>5</v>
      </c>
      <c r="K237">
        <v>1301.3099785310901</v>
      </c>
      <c r="L237">
        <v>390.39299355932798</v>
      </c>
      <c r="M237" t="s">
        <v>34</v>
      </c>
      <c r="N237">
        <f>Supermarket_Sales_Case_Study[[#This Row],[Sales_Amount]]-Supermarket_Sales_Case_Study[[#This Row],[Profit]]</f>
        <v>910.91698497176208</v>
      </c>
      <c r="O237" s="2">
        <f>(Supermarket_Sales_Case_Study[[#This Row],[Sales_Amount]]-Supermarket_Sales_Case_Study[[#This Row],[Purchase]])/Supermarket_Sales_Case_Study[[#This Row],[Sales_Amount]]</f>
        <v>0.30000000000000077</v>
      </c>
      <c r="P237">
        <f>Supermarket_Sales_Case_Study[[#This Row],[Quantity]]*Supermarket_Sales_Case_Study[[#This Row],[Sales_Amount]]</f>
        <v>6506.5498926554501</v>
      </c>
    </row>
    <row r="238" spans="1:16" x14ac:dyDescent="0.3">
      <c r="A238" t="s">
        <v>268</v>
      </c>
      <c r="B238" t="s">
        <v>39</v>
      </c>
      <c r="C238" t="s">
        <v>36</v>
      </c>
      <c r="D238">
        <v>2054</v>
      </c>
      <c r="E238" t="s">
        <v>26</v>
      </c>
      <c r="F238" t="s">
        <v>22</v>
      </c>
      <c r="G238" t="s">
        <v>28</v>
      </c>
      <c r="H238" s="1">
        <v>45308</v>
      </c>
      <c r="I238">
        <v>164.24783291217901</v>
      </c>
      <c r="J238">
        <v>6</v>
      </c>
      <c r="K238">
        <v>985.48699747307398</v>
      </c>
      <c r="L238">
        <v>295.646099241922</v>
      </c>
      <c r="M238" t="s">
        <v>24</v>
      </c>
      <c r="N238">
        <f>Supermarket_Sales_Case_Study[[#This Row],[Sales_Amount]]-Supermarket_Sales_Case_Study[[#This Row],[Profit]]</f>
        <v>689.84089823115198</v>
      </c>
      <c r="O238" s="2">
        <f>(Supermarket_Sales_Case_Study[[#This Row],[Sales_Amount]]-Supermarket_Sales_Case_Study[[#This Row],[Purchase]])/Supermarket_Sales_Case_Study[[#This Row],[Sales_Amount]]</f>
        <v>0.29999999999999982</v>
      </c>
      <c r="P238">
        <f>Supermarket_Sales_Case_Study[[#This Row],[Quantity]]*Supermarket_Sales_Case_Study[[#This Row],[Sales_Amount]]</f>
        <v>5912.9219848384437</v>
      </c>
    </row>
    <row r="239" spans="1:16" x14ac:dyDescent="0.3">
      <c r="A239" t="s">
        <v>269</v>
      </c>
      <c r="B239" t="s">
        <v>39</v>
      </c>
      <c r="C239" t="s">
        <v>15</v>
      </c>
      <c r="D239">
        <v>1239</v>
      </c>
      <c r="E239" t="s">
        <v>16</v>
      </c>
      <c r="F239" t="s">
        <v>22</v>
      </c>
      <c r="G239" t="s">
        <v>23</v>
      </c>
      <c r="H239" s="1">
        <v>45308</v>
      </c>
      <c r="I239">
        <v>238.935336316605</v>
      </c>
      <c r="J239">
        <v>3</v>
      </c>
      <c r="K239">
        <v>716.80600894981603</v>
      </c>
      <c r="L239">
        <v>215.041802684944</v>
      </c>
      <c r="M239" t="s">
        <v>19</v>
      </c>
      <c r="N239">
        <f>Supermarket_Sales_Case_Study[[#This Row],[Sales_Amount]]-Supermarket_Sales_Case_Study[[#This Row],[Profit]]</f>
        <v>501.76420626487203</v>
      </c>
      <c r="O239" s="2">
        <f>(Supermarket_Sales_Case_Study[[#This Row],[Sales_Amount]]-Supermarket_Sales_Case_Study[[#This Row],[Purchase]])/Supermarket_Sales_Case_Study[[#This Row],[Sales_Amount]]</f>
        <v>0.29999999999999888</v>
      </c>
      <c r="P239">
        <f>Supermarket_Sales_Case_Study[[#This Row],[Quantity]]*Supermarket_Sales_Case_Study[[#This Row],[Sales_Amount]]</f>
        <v>2150.4180268494483</v>
      </c>
    </row>
    <row r="240" spans="1:16" x14ac:dyDescent="0.3">
      <c r="A240" t="s">
        <v>270</v>
      </c>
      <c r="B240" t="s">
        <v>14</v>
      </c>
      <c r="C240" t="s">
        <v>36</v>
      </c>
      <c r="D240">
        <v>1362</v>
      </c>
      <c r="E240" t="s">
        <v>16</v>
      </c>
      <c r="F240" t="s">
        <v>17</v>
      </c>
      <c r="G240" t="s">
        <v>37</v>
      </c>
      <c r="H240" s="1">
        <v>45358</v>
      </c>
      <c r="I240">
        <v>96.068137785756605</v>
      </c>
      <c r="J240">
        <v>8</v>
      </c>
      <c r="K240">
        <v>768.54510228605295</v>
      </c>
      <c r="L240">
        <v>230.563530685816</v>
      </c>
      <c r="M240" t="s">
        <v>24</v>
      </c>
      <c r="N240">
        <f>Supermarket_Sales_Case_Study[[#This Row],[Sales_Amount]]-Supermarket_Sales_Case_Study[[#This Row],[Profit]]</f>
        <v>537.98157160023698</v>
      </c>
      <c r="O240" s="2">
        <f>(Supermarket_Sales_Case_Study[[#This Row],[Sales_Amount]]-Supermarket_Sales_Case_Study[[#This Row],[Purchase]])/Supermarket_Sales_Case_Study[[#This Row],[Sales_Amount]]</f>
        <v>0.3000000000000001</v>
      </c>
      <c r="P240">
        <f>Supermarket_Sales_Case_Study[[#This Row],[Quantity]]*Supermarket_Sales_Case_Study[[#This Row],[Sales_Amount]]</f>
        <v>6148.3608182884236</v>
      </c>
    </row>
    <row r="241" spans="1:16" x14ac:dyDescent="0.3">
      <c r="A241" t="s">
        <v>271</v>
      </c>
      <c r="B241" t="s">
        <v>14</v>
      </c>
      <c r="C241" t="s">
        <v>15</v>
      </c>
      <c r="D241">
        <v>1821</v>
      </c>
      <c r="E241" t="s">
        <v>26</v>
      </c>
      <c r="F241" t="s">
        <v>17</v>
      </c>
      <c r="G241" t="s">
        <v>28</v>
      </c>
      <c r="H241" s="1">
        <v>45353</v>
      </c>
      <c r="I241">
        <v>166.99718694560701</v>
      </c>
      <c r="J241">
        <v>4</v>
      </c>
      <c r="K241">
        <v>667.98874778243101</v>
      </c>
      <c r="L241">
        <v>200.39662433472901</v>
      </c>
      <c r="M241" t="s">
        <v>34</v>
      </c>
      <c r="N241">
        <f>Supermarket_Sales_Case_Study[[#This Row],[Sales_Amount]]-Supermarket_Sales_Case_Study[[#This Row],[Profit]]</f>
        <v>467.59212344770197</v>
      </c>
      <c r="O241" s="2">
        <f>(Supermarket_Sales_Case_Study[[#This Row],[Sales_Amount]]-Supermarket_Sales_Case_Study[[#This Row],[Purchase]])/Supermarket_Sales_Case_Study[[#This Row],[Sales_Amount]]</f>
        <v>0.2999999999999996</v>
      </c>
      <c r="P241">
        <f>Supermarket_Sales_Case_Study[[#This Row],[Quantity]]*Supermarket_Sales_Case_Study[[#This Row],[Sales_Amount]]</f>
        <v>2671.954991129724</v>
      </c>
    </row>
    <row r="242" spans="1:16" x14ac:dyDescent="0.3">
      <c r="A242" t="s">
        <v>272</v>
      </c>
      <c r="B242" t="s">
        <v>21</v>
      </c>
      <c r="C242" t="s">
        <v>36</v>
      </c>
      <c r="D242">
        <v>2412</v>
      </c>
      <c r="E242" t="s">
        <v>26</v>
      </c>
      <c r="F242" t="s">
        <v>22</v>
      </c>
      <c r="G242" t="s">
        <v>37</v>
      </c>
      <c r="H242" s="1">
        <v>45292</v>
      </c>
      <c r="I242">
        <v>110.116686564292</v>
      </c>
      <c r="J242">
        <v>8</v>
      </c>
      <c r="K242">
        <v>880.93349251433597</v>
      </c>
      <c r="L242">
        <v>264.28004775430003</v>
      </c>
      <c r="M242" t="s">
        <v>19</v>
      </c>
      <c r="N242">
        <f>Supermarket_Sales_Case_Study[[#This Row],[Sales_Amount]]-Supermarket_Sales_Case_Study[[#This Row],[Profit]]</f>
        <v>616.65344476003588</v>
      </c>
      <c r="O242" s="2">
        <f>(Supermarket_Sales_Case_Study[[#This Row],[Sales_Amount]]-Supermarket_Sales_Case_Study[[#This Row],[Purchase]])/Supermarket_Sales_Case_Study[[#This Row],[Sales_Amount]]</f>
        <v>0.29999999999999921</v>
      </c>
      <c r="P242">
        <f>Supermarket_Sales_Case_Study[[#This Row],[Quantity]]*Supermarket_Sales_Case_Study[[#This Row],[Sales_Amount]]</f>
        <v>7047.4679401146877</v>
      </c>
    </row>
    <row r="243" spans="1:16" x14ac:dyDescent="0.3">
      <c r="A243" t="s">
        <v>273</v>
      </c>
      <c r="B243" t="s">
        <v>21</v>
      </c>
      <c r="C243" t="s">
        <v>15</v>
      </c>
      <c r="D243">
        <v>1667</v>
      </c>
      <c r="E243" t="s">
        <v>16</v>
      </c>
      <c r="F243" t="s">
        <v>22</v>
      </c>
      <c r="G243" t="s">
        <v>33</v>
      </c>
      <c r="H243" s="1">
        <v>45303</v>
      </c>
      <c r="I243">
        <v>130.11826841582999</v>
      </c>
      <c r="J243">
        <v>3</v>
      </c>
      <c r="K243">
        <v>390.35480524749198</v>
      </c>
      <c r="L243">
        <v>117.106441574247</v>
      </c>
      <c r="M243" t="s">
        <v>24</v>
      </c>
      <c r="N243">
        <f>Supermarket_Sales_Case_Study[[#This Row],[Sales_Amount]]-Supermarket_Sales_Case_Study[[#This Row],[Profit]]</f>
        <v>273.24836367324497</v>
      </c>
      <c r="O243" s="2">
        <f>(Supermarket_Sales_Case_Study[[#This Row],[Sales_Amount]]-Supermarket_Sales_Case_Study[[#This Row],[Purchase]])/Supermarket_Sales_Case_Study[[#This Row],[Sales_Amount]]</f>
        <v>0.29999999999999849</v>
      </c>
      <c r="P243">
        <f>Supermarket_Sales_Case_Study[[#This Row],[Quantity]]*Supermarket_Sales_Case_Study[[#This Row],[Sales_Amount]]</f>
        <v>1171.0644157424758</v>
      </c>
    </row>
    <row r="244" spans="1:16" x14ac:dyDescent="0.3">
      <c r="A244" t="s">
        <v>274</v>
      </c>
      <c r="B244" t="s">
        <v>14</v>
      </c>
      <c r="C244" t="s">
        <v>30</v>
      </c>
      <c r="D244">
        <v>2322</v>
      </c>
      <c r="E244" t="s">
        <v>26</v>
      </c>
      <c r="F244" t="s">
        <v>17</v>
      </c>
      <c r="G244" t="s">
        <v>23</v>
      </c>
      <c r="H244" s="1">
        <v>45295</v>
      </c>
      <c r="I244">
        <v>222.40002079567299</v>
      </c>
      <c r="J244">
        <v>7</v>
      </c>
      <c r="K244">
        <v>1556.8001455697099</v>
      </c>
      <c r="L244">
        <v>467.040043670915</v>
      </c>
      <c r="M244" t="s">
        <v>24</v>
      </c>
      <c r="N244">
        <f>Supermarket_Sales_Case_Study[[#This Row],[Sales_Amount]]-Supermarket_Sales_Case_Study[[#This Row],[Profit]]</f>
        <v>1089.7601018987948</v>
      </c>
      <c r="O244" s="2">
        <f>(Supermarket_Sales_Case_Study[[#This Row],[Sales_Amount]]-Supermarket_Sales_Case_Study[[#This Row],[Purchase]])/Supermarket_Sales_Case_Study[[#This Row],[Sales_Amount]]</f>
        <v>0.30000000000000138</v>
      </c>
      <c r="P244">
        <f>Supermarket_Sales_Case_Study[[#This Row],[Quantity]]*Supermarket_Sales_Case_Study[[#This Row],[Sales_Amount]]</f>
        <v>10897.601018987969</v>
      </c>
    </row>
    <row r="245" spans="1:16" x14ac:dyDescent="0.3">
      <c r="A245" t="s">
        <v>275</v>
      </c>
      <c r="B245" t="s">
        <v>39</v>
      </c>
      <c r="C245" t="s">
        <v>15</v>
      </c>
      <c r="D245">
        <v>2394</v>
      </c>
      <c r="E245" t="s">
        <v>16</v>
      </c>
      <c r="F245" t="s">
        <v>22</v>
      </c>
      <c r="G245" t="s">
        <v>28</v>
      </c>
      <c r="H245" s="1">
        <v>45333</v>
      </c>
      <c r="I245">
        <v>265.68211987648601</v>
      </c>
      <c r="J245">
        <v>9</v>
      </c>
      <c r="K245">
        <v>2391.13907888838</v>
      </c>
      <c r="L245">
        <v>717.34172366651399</v>
      </c>
      <c r="M245" t="s">
        <v>19</v>
      </c>
      <c r="N245">
        <f>Supermarket_Sales_Case_Study[[#This Row],[Sales_Amount]]-Supermarket_Sales_Case_Study[[#This Row],[Profit]]</f>
        <v>1673.7973552218659</v>
      </c>
      <c r="O245" s="2">
        <f>(Supermarket_Sales_Case_Study[[#This Row],[Sales_Amount]]-Supermarket_Sales_Case_Study[[#This Row],[Purchase]])/Supermarket_Sales_Case_Study[[#This Row],[Sales_Amount]]</f>
        <v>0.30000000000000004</v>
      </c>
      <c r="P245">
        <f>Supermarket_Sales_Case_Study[[#This Row],[Quantity]]*Supermarket_Sales_Case_Study[[#This Row],[Sales_Amount]]</f>
        <v>21520.25170999542</v>
      </c>
    </row>
    <row r="246" spans="1:16" x14ac:dyDescent="0.3">
      <c r="A246" t="s">
        <v>276</v>
      </c>
      <c r="B246" t="s">
        <v>21</v>
      </c>
      <c r="C246" t="s">
        <v>15</v>
      </c>
      <c r="D246">
        <v>1098</v>
      </c>
      <c r="E246" t="s">
        <v>26</v>
      </c>
      <c r="F246" t="s">
        <v>17</v>
      </c>
      <c r="G246" t="s">
        <v>31</v>
      </c>
      <c r="H246" s="1">
        <v>45304</v>
      </c>
      <c r="I246">
        <v>45.2336634154519</v>
      </c>
      <c r="J246">
        <v>4</v>
      </c>
      <c r="K246">
        <v>180.934653661807</v>
      </c>
      <c r="L246">
        <v>54.280396098542298</v>
      </c>
      <c r="M246" t="s">
        <v>34</v>
      </c>
      <c r="N246">
        <f>Supermarket_Sales_Case_Study[[#This Row],[Sales_Amount]]-Supermarket_Sales_Case_Study[[#This Row],[Profit]]</f>
        <v>126.65425756326471</v>
      </c>
      <c r="O246" s="2">
        <f>(Supermarket_Sales_Case_Study[[#This Row],[Sales_Amount]]-Supermarket_Sales_Case_Study[[#This Row],[Purchase]])/Supermarket_Sales_Case_Study[[#This Row],[Sales_Amount]]</f>
        <v>0.3000000000000011</v>
      </c>
      <c r="P246">
        <f>Supermarket_Sales_Case_Study[[#This Row],[Quantity]]*Supermarket_Sales_Case_Study[[#This Row],[Sales_Amount]]</f>
        <v>723.73861464722802</v>
      </c>
    </row>
    <row r="247" spans="1:16" x14ac:dyDescent="0.3">
      <c r="A247" t="s">
        <v>277</v>
      </c>
      <c r="B247" t="s">
        <v>14</v>
      </c>
      <c r="C247" t="s">
        <v>15</v>
      </c>
      <c r="D247">
        <v>1046</v>
      </c>
      <c r="E247" t="s">
        <v>26</v>
      </c>
      <c r="F247" t="s">
        <v>22</v>
      </c>
      <c r="G247" t="s">
        <v>23</v>
      </c>
      <c r="H247" s="1">
        <v>45376</v>
      </c>
      <c r="I247">
        <v>194.04538438134</v>
      </c>
      <c r="J247">
        <v>8</v>
      </c>
      <c r="K247">
        <v>1552.36307505072</v>
      </c>
      <c r="L247">
        <v>465.70892251521599</v>
      </c>
      <c r="M247" t="s">
        <v>19</v>
      </c>
      <c r="N247">
        <f>Supermarket_Sales_Case_Study[[#This Row],[Sales_Amount]]-Supermarket_Sales_Case_Study[[#This Row],[Profit]]</f>
        <v>1086.654152535504</v>
      </c>
      <c r="O247" s="2">
        <f>(Supermarket_Sales_Case_Study[[#This Row],[Sales_Amount]]-Supermarket_Sales_Case_Study[[#This Row],[Purchase]])/Supermarket_Sales_Case_Study[[#This Row],[Sales_Amount]]</f>
        <v>0.30000000000000004</v>
      </c>
      <c r="P247">
        <f>Supermarket_Sales_Case_Study[[#This Row],[Quantity]]*Supermarket_Sales_Case_Study[[#This Row],[Sales_Amount]]</f>
        <v>12418.90460040576</v>
      </c>
    </row>
    <row r="248" spans="1:16" x14ac:dyDescent="0.3">
      <c r="A248" t="s">
        <v>278</v>
      </c>
      <c r="B248" t="s">
        <v>14</v>
      </c>
      <c r="C248" t="s">
        <v>15</v>
      </c>
      <c r="D248">
        <v>1838</v>
      </c>
      <c r="E248" t="s">
        <v>26</v>
      </c>
      <c r="F248" t="s">
        <v>22</v>
      </c>
      <c r="G248" t="s">
        <v>31</v>
      </c>
      <c r="H248" s="1">
        <v>45377</v>
      </c>
      <c r="I248">
        <v>178.82170419756099</v>
      </c>
      <c r="J248">
        <v>3</v>
      </c>
      <c r="K248">
        <v>536.46511259268402</v>
      </c>
      <c r="L248">
        <v>160.939533777805</v>
      </c>
      <c r="M248" t="s">
        <v>24</v>
      </c>
      <c r="N248">
        <f>Supermarket_Sales_Case_Study[[#This Row],[Sales_Amount]]-Supermarket_Sales_Case_Study[[#This Row],[Profit]]</f>
        <v>375.52557881487905</v>
      </c>
      <c r="O248" s="2">
        <f>(Supermarket_Sales_Case_Study[[#This Row],[Sales_Amount]]-Supermarket_Sales_Case_Study[[#This Row],[Purchase]])/Supermarket_Sales_Case_Study[[#This Row],[Sales_Amount]]</f>
        <v>0.29999999999999954</v>
      </c>
      <c r="P248">
        <f>Supermarket_Sales_Case_Study[[#This Row],[Quantity]]*Supermarket_Sales_Case_Study[[#This Row],[Sales_Amount]]</f>
        <v>1609.3953377780522</v>
      </c>
    </row>
    <row r="249" spans="1:16" x14ac:dyDescent="0.3">
      <c r="A249" t="s">
        <v>279</v>
      </c>
      <c r="B249" t="s">
        <v>14</v>
      </c>
      <c r="C249" t="s">
        <v>36</v>
      </c>
      <c r="D249">
        <v>1421</v>
      </c>
      <c r="E249" t="s">
        <v>16</v>
      </c>
      <c r="F249" t="s">
        <v>17</v>
      </c>
      <c r="G249" t="s">
        <v>37</v>
      </c>
      <c r="H249" s="1">
        <v>45295</v>
      </c>
      <c r="I249">
        <v>44.3403613610202</v>
      </c>
      <c r="J249">
        <v>7</v>
      </c>
      <c r="K249">
        <v>310.382529527141</v>
      </c>
      <c r="L249">
        <v>93.114758858142494</v>
      </c>
      <c r="M249" t="s">
        <v>24</v>
      </c>
      <c r="N249">
        <f>Supermarket_Sales_Case_Study[[#This Row],[Sales_Amount]]-Supermarket_Sales_Case_Study[[#This Row],[Profit]]</f>
        <v>217.26777066899851</v>
      </c>
      <c r="O249" s="2">
        <f>(Supermarket_Sales_Case_Study[[#This Row],[Sales_Amount]]-Supermarket_Sales_Case_Study[[#This Row],[Purchase]])/Supermarket_Sales_Case_Study[[#This Row],[Sales_Amount]]</f>
        <v>0.3000000000000006</v>
      </c>
      <c r="P249">
        <f>Supermarket_Sales_Case_Study[[#This Row],[Quantity]]*Supermarket_Sales_Case_Study[[#This Row],[Sales_Amount]]</f>
        <v>2172.6777066899872</v>
      </c>
    </row>
    <row r="250" spans="1:16" x14ac:dyDescent="0.3">
      <c r="A250" t="s">
        <v>280</v>
      </c>
      <c r="B250" t="s">
        <v>39</v>
      </c>
      <c r="C250" t="s">
        <v>30</v>
      </c>
      <c r="D250">
        <v>1061</v>
      </c>
      <c r="E250" t="s">
        <v>26</v>
      </c>
      <c r="F250" t="s">
        <v>17</v>
      </c>
      <c r="G250" t="s">
        <v>18</v>
      </c>
      <c r="H250" s="1">
        <v>45373</v>
      </c>
      <c r="I250">
        <v>71.449355827631607</v>
      </c>
      <c r="J250">
        <v>3</v>
      </c>
      <c r="K250">
        <v>214.34806748289401</v>
      </c>
      <c r="L250">
        <v>64.304420244868396</v>
      </c>
      <c r="M250" t="s">
        <v>24</v>
      </c>
      <c r="N250">
        <f>Supermarket_Sales_Case_Study[[#This Row],[Sales_Amount]]-Supermarket_Sales_Case_Study[[#This Row],[Profit]]</f>
        <v>150.04364723802561</v>
      </c>
      <c r="O250" s="2">
        <f>(Supermarket_Sales_Case_Study[[#This Row],[Sales_Amount]]-Supermarket_Sales_Case_Study[[#This Row],[Purchase]])/Supermarket_Sales_Case_Study[[#This Row],[Sales_Amount]]</f>
        <v>0.30000000000000088</v>
      </c>
      <c r="P250">
        <f>Supermarket_Sales_Case_Study[[#This Row],[Quantity]]*Supermarket_Sales_Case_Study[[#This Row],[Sales_Amount]]</f>
        <v>643.04420244868197</v>
      </c>
    </row>
    <row r="251" spans="1:16" x14ac:dyDescent="0.3">
      <c r="A251" t="s">
        <v>281</v>
      </c>
      <c r="B251" t="s">
        <v>14</v>
      </c>
      <c r="C251" t="s">
        <v>15</v>
      </c>
      <c r="D251">
        <v>2132</v>
      </c>
      <c r="E251" t="s">
        <v>16</v>
      </c>
      <c r="F251" t="s">
        <v>17</v>
      </c>
      <c r="G251" t="s">
        <v>23</v>
      </c>
      <c r="H251" s="1">
        <v>45360</v>
      </c>
      <c r="I251">
        <v>100.190723472477</v>
      </c>
      <c r="J251">
        <v>7</v>
      </c>
      <c r="K251">
        <v>701.33506430733996</v>
      </c>
      <c r="L251">
        <v>210.40051929220201</v>
      </c>
      <c r="M251" t="s">
        <v>24</v>
      </c>
      <c r="N251">
        <f>Supermarket_Sales_Case_Study[[#This Row],[Sales_Amount]]-Supermarket_Sales_Case_Study[[#This Row],[Profit]]</f>
        <v>490.93454501513793</v>
      </c>
      <c r="O251" s="2">
        <f>(Supermarket_Sales_Case_Study[[#This Row],[Sales_Amount]]-Supermarket_Sales_Case_Study[[#This Row],[Purchase]])/Supermarket_Sales_Case_Study[[#This Row],[Sales_Amount]]</f>
        <v>0.30000000000000004</v>
      </c>
      <c r="P251">
        <f>Supermarket_Sales_Case_Study[[#This Row],[Quantity]]*Supermarket_Sales_Case_Study[[#This Row],[Sales_Amount]]</f>
        <v>4909.3454501513797</v>
      </c>
    </row>
    <row r="252" spans="1:16" x14ac:dyDescent="0.3">
      <c r="A252" t="s">
        <v>282</v>
      </c>
      <c r="B252" t="s">
        <v>14</v>
      </c>
      <c r="C252" t="s">
        <v>36</v>
      </c>
      <c r="D252">
        <v>2142</v>
      </c>
      <c r="E252" t="s">
        <v>16</v>
      </c>
      <c r="F252" t="s">
        <v>17</v>
      </c>
      <c r="G252" t="s">
        <v>37</v>
      </c>
      <c r="H252" s="1">
        <v>45310</v>
      </c>
      <c r="I252">
        <v>58.410010537075401</v>
      </c>
      <c r="J252">
        <v>6</v>
      </c>
      <c r="K252">
        <v>350.46006322245199</v>
      </c>
      <c r="L252">
        <v>105.138018966735</v>
      </c>
      <c r="M252" t="s">
        <v>34</v>
      </c>
      <c r="N252">
        <f>Supermarket_Sales_Case_Study[[#This Row],[Sales_Amount]]-Supermarket_Sales_Case_Study[[#This Row],[Profit]]</f>
        <v>245.322044255717</v>
      </c>
      <c r="O252" s="2">
        <f>(Supermarket_Sales_Case_Study[[#This Row],[Sales_Amount]]-Supermarket_Sales_Case_Study[[#This Row],[Purchase]])/Supermarket_Sales_Case_Study[[#This Row],[Sales_Amount]]</f>
        <v>0.29999999999999827</v>
      </c>
      <c r="P252">
        <f>Supermarket_Sales_Case_Study[[#This Row],[Quantity]]*Supermarket_Sales_Case_Study[[#This Row],[Sales_Amount]]</f>
        <v>2102.7603793347121</v>
      </c>
    </row>
    <row r="253" spans="1:16" x14ac:dyDescent="0.3">
      <c r="A253" t="s">
        <v>283</v>
      </c>
      <c r="B253" t="s">
        <v>14</v>
      </c>
      <c r="C253" t="s">
        <v>30</v>
      </c>
      <c r="D253">
        <v>2009</v>
      </c>
      <c r="E253" t="s">
        <v>16</v>
      </c>
      <c r="F253" t="s">
        <v>22</v>
      </c>
      <c r="G253" t="s">
        <v>31</v>
      </c>
      <c r="H253" s="1">
        <v>45293</v>
      </c>
      <c r="I253">
        <v>80.681549932059099</v>
      </c>
      <c r="J253">
        <v>2</v>
      </c>
      <c r="K253">
        <v>161.363099864118</v>
      </c>
      <c r="L253">
        <v>48.408929959235401</v>
      </c>
      <c r="M253" t="s">
        <v>34</v>
      </c>
      <c r="N253">
        <f>Supermarket_Sales_Case_Study[[#This Row],[Sales_Amount]]-Supermarket_Sales_Case_Study[[#This Row],[Profit]]</f>
        <v>112.9541699048826</v>
      </c>
      <c r="O253" s="2">
        <f>(Supermarket_Sales_Case_Study[[#This Row],[Sales_Amount]]-Supermarket_Sales_Case_Study[[#This Row],[Purchase]])/Supermarket_Sales_Case_Study[[#This Row],[Sales_Amount]]</f>
        <v>0.3</v>
      </c>
      <c r="P253">
        <f>Supermarket_Sales_Case_Study[[#This Row],[Quantity]]*Supermarket_Sales_Case_Study[[#This Row],[Sales_Amount]]</f>
        <v>322.726199728236</v>
      </c>
    </row>
    <row r="254" spans="1:16" x14ac:dyDescent="0.3">
      <c r="A254" t="s">
        <v>284</v>
      </c>
      <c r="B254" t="s">
        <v>14</v>
      </c>
      <c r="C254" t="s">
        <v>30</v>
      </c>
      <c r="D254">
        <v>1597</v>
      </c>
      <c r="E254" t="s">
        <v>16</v>
      </c>
      <c r="F254" t="s">
        <v>17</v>
      </c>
      <c r="G254" t="s">
        <v>33</v>
      </c>
      <c r="H254" s="1">
        <v>45303</v>
      </c>
      <c r="I254">
        <v>87.6042316698951</v>
      </c>
      <c r="J254">
        <v>3</v>
      </c>
      <c r="K254">
        <v>262.812695009685</v>
      </c>
      <c r="L254">
        <v>78.843808502905603</v>
      </c>
      <c r="M254" t="s">
        <v>24</v>
      </c>
      <c r="N254">
        <f>Supermarket_Sales_Case_Study[[#This Row],[Sales_Amount]]-Supermarket_Sales_Case_Study[[#This Row],[Profit]]</f>
        <v>183.9688865067794</v>
      </c>
      <c r="O254" s="2">
        <f>(Supermarket_Sales_Case_Study[[#This Row],[Sales_Amount]]-Supermarket_Sales_Case_Study[[#This Row],[Purchase]])/Supermarket_Sales_Case_Study[[#This Row],[Sales_Amount]]</f>
        <v>0.30000000000000038</v>
      </c>
      <c r="P254">
        <f>Supermarket_Sales_Case_Study[[#This Row],[Quantity]]*Supermarket_Sales_Case_Study[[#This Row],[Sales_Amount]]</f>
        <v>788.43808502905495</v>
      </c>
    </row>
    <row r="255" spans="1:16" x14ac:dyDescent="0.3">
      <c r="A255" t="s">
        <v>285</v>
      </c>
      <c r="B255" t="s">
        <v>21</v>
      </c>
      <c r="C255" t="s">
        <v>30</v>
      </c>
      <c r="D255">
        <v>2405</v>
      </c>
      <c r="E255" t="s">
        <v>26</v>
      </c>
      <c r="F255" t="s">
        <v>22</v>
      </c>
      <c r="G255" t="s">
        <v>33</v>
      </c>
      <c r="H255" s="1">
        <v>45372</v>
      </c>
      <c r="I255">
        <v>107.345411581327</v>
      </c>
      <c r="J255">
        <v>6</v>
      </c>
      <c r="K255">
        <v>644.07246948796296</v>
      </c>
      <c r="L255">
        <v>193.221740846389</v>
      </c>
      <c r="M255" t="s">
        <v>34</v>
      </c>
      <c r="N255">
        <f>Supermarket_Sales_Case_Study[[#This Row],[Sales_Amount]]-Supermarket_Sales_Case_Study[[#This Row],[Profit]]</f>
        <v>450.85072864157394</v>
      </c>
      <c r="O255" s="2">
        <f>(Supermarket_Sales_Case_Study[[#This Row],[Sales_Amount]]-Supermarket_Sales_Case_Study[[#This Row],[Purchase]])/Supermarket_Sales_Case_Study[[#This Row],[Sales_Amount]]</f>
        <v>0.30000000000000021</v>
      </c>
      <c r="P255">
        <f>Supermarket_Sales_Case_Study[[#This Row],[Quantity]]*Supermarket_Sales_Case_Study[[#This Row],[Sales_Amount]]</f>
        <v>3864.4348169277778</v>
      </c>
    </row>
    <row r="256" spans="1:16" x14ac:dyDescent="0.3">
      <c r="A256" t="s">
        <v>286</v>
      </c>
      <c r="B256" t="s">
        <v>21</v>
      </c>
      <c r="C256" t="s">
        <v>30</v>
      </c>
      <c r="D256">
        <v>1391</v>
      </c>
      <c r="E256" t="s">
        <v>16</v>
      </c>
      <c r="F256" t="s">
        <v>17</v>
      </c>
      <c r="G256" t="s">
        <v>18</v>
      </c>
      <c r="H256" s="1">
        <v>45365</v>
      </c>
      <c r="I256">
        <v>227.32323131233599</v>
      </c>
      <c r="J256">
        <v>4</v>
      </c>
      <c r="K256">
        <v>909.29292524934397</v>
      </c>
      <c r="L256">
        <v>272.78787757480302</v>
      </c>
      <c r="M256" t="s">
        <v>34</v>
      </c>
      <c r="N256">
        <f>Supermarket_Sales_Case_Study[[#This Row],[Sales_Amount]]-Supermarket_Sales_Case_Study[[#This Row],[Profit]]</f>
        <v>636.50504767454095</v>
      </c>
      <c r="O256" s="2">
        <f>(Supermarket_Sales_Case_Study[[#This Row],[Sales_Amount]]-Supermarket_Sales_Case_Study[[#This Row],[Purchase]])/Supermarket_Sales_Case_Study[[#This Row],[Sales_Amount]]</f>
        <v>0.29999999999999982</v>
      </c>
      <c r="P256">
        <f>Supermarket_Sales_Case_Study[[#This Row],[Quantity]]*Supermarket_Sales_Case_Study[[#This Row],[Sales_Amount]]</f>
        <v>3637.1717009973759</v>
      </c>
    </row>
    <row r="257" spans="1:16" x14ac:dyDescent="0.3">
      <c r="A257" t="s">
        <v>287</v>
      </c>
      <c r="B257" t="s">
        <v>14</v>
      </c>
      <c r="C257" t="s">
        <v>15</v>
      </c>
      <c r="D257">
        <v>1976</v>
      </c>
      <c r="E257" t="s">
        <v>16</v>
      </c>
      <c r="F257" t="s">
        <v>17</v>
      </c>
      <c r="G257" t="s">
        <v>23</v>
      </c>
      <c r="H257" s="1">
        <v>45297</v>
      </c>
      <c r="I257">
        <v>175.854539116674</v>
      </c>
      <c r="J257">
        <v>6</v>
      </c>
      <c r="K257">
        <v>1055.1272347000399</v>
      </c>
      <c r="L257">
        <v>316.53817041001298</v>
      </c>
      <c r="M257" t="s">
        <v>34</v>
      </c>
      <c r="N257">
        <f>Supermarket_Sales_Case_Study[[#This Row],[Sales_Amount]]-Supermarket_Sales_Case_Study[[#This Row],[Profit]]</f>
        <v>738.58906429002695</v>
      </c>
      <c r="O257" s="2">
        <f>(Supermarket_Sales_Case_Study[[#This Row],[Sales_Amount]]-Supermarket_Sales_Case_Study[[#This Row],[Purchase]])/Supermarket_Sales_Case_Study[[#This Row],[Sales_Amount]]</f>
        <v>0.30000000000000093</v>
      </c>
      <c r="P257">
        <f>Supermarket_Sales_Case_Study[[#This Row],[Quantity]]*Supermarket_Sales_Case_Study[[#This Row],[Sales_Amount]]</f>
        <v>6330.7634082002396</v>
      </c>
    </row>
    <row r="258" spans="1:16" x14ac:dyDescent="0.3">
      <c r="A258" t="s">
        <v>288</v>
      </c>
      <c r="B258" t="s">
        <v>39</v>
      </c>
      <c r="C258" t="s">
        <v>15</v>
      </c>
      <c r="D258">
        <v>2075</v>
      </c>
      <c r="E258" t="s">
        <v>26</v>
      </c>
      <c r="F258" t="s">
        <v>22</v>
      </c>
      <c r="G258" t="s">
        <v>23</v>
      </c>
      <c r="H258" s="1">
        <v>45299</v>
      </c>
      <c r="I258">
        <v>296.01153486590601</v>
      </c>
      <c r="J258">
        <v>1</v>
      </c>
      <c r="K258">
        <v>296.01153486590601</v>
      </c>
      <c r="L258">
        <v>88.803460459771898</v>
      </c>
      <c r="M258" t="s">
        <v>24</v>
      </c>
      <c r="N258">
        <f>Supermarket_Sales_Case_Study[[#This Row],[Sales_Amount]]-Supermarket_Sales_Case_Study[[#This Row],[Profit]]</f>
        <v>207.20807440613413</v>
      </c>
      <c r="O258" s="2">
        <f>(Supermarket_Sales_Case_Study[[#This Row],[Sales_Amount]]-Supermarket_Sales_Case_Study[[#This Row],[Purchase]])/Supermarket_Sales_Case_Study[[#This Row],[Sales_Amount]]</f>
        <v>0.30000000000000027</v>
      </c>
      <c r="P258">
        <f>Supermarket_Sales_Case_Study[[#This Row],[Quantity]]*Supermarket_Sales_Case_Study[[#This Row],[Sales_Amount]]</f>
        <v>296.01153486590601</v>
      </c>
    </row>
    <row r="259" spans="1:16" x14ac:dyDescent="0.3">
      <c r="A259" t="s">
        <v>289</v>
      </c>
      <c r="B259" t="s">
        <v>21</v>
      </c>
      <c r="C259" t="s">
        <v>36</v>
      </c>
      <c r="D259">
        <v>1602</v>
      </c>
      <c r="E259" t="s">
        <v>16</v>
      </c>
      <c r="F259" t="s">
        <v>17</v>
      </c>
      <c r="G259" t="s">
        <v>23</v>
      </c>
      <c r="H259" s="1">
        <v>45342</v>
      </c>
      <c r="I259">
        <v>130.273389820566</v>
      </c>
      <c r="J259">
        <v>1</v>
      </c>
      <c r="K259">
        <v>130.273389820566</v>
      </c>
      <c r="L259">
        <v>39.082016946169901</v>
      </c>
      <c r="M259" t="s">
        <v>19</v>
      </c>
      <c r="N259">
        <f>Supermarket_Sales_Case_Study[[#This Row],[Sales_Amount]]-Supermarket_Sales_Case_Study[[#This Row],[Profit]]</f>
        <v>91.191372874396095</v>
      </c>
      <c r="O259" s="2">
        <f>(Supermarket_Sales_Case_Study[[#This Row],[Sales_Amount]]-Supermarket_Sales_Case_Study[[#This Row],[Purchase]])/Supermarket_Sales_Case_Study[[#This Row],[Sales_Amount]]</f>
        <v>0.30000000000000077</v>
      </c>
      <c r="P259">
        <f>Supermarket_Sales_Case_Study[[#This Row],[Quantity]]*Supermarket_Sales_Case_Study[[#This Row],[Sales_Amount]]</f>
        <v>130.273389820566</v>
      </c>
    </row>
    <row r="260" spans="1:16" x14ac:dyDescent="0.3">
      <c r="A260" t="s">
        <v>290</v>
      </c>
      <c r="B260" t="s">
        <v>14</v>
      </c>
      <c r="C260" t="s">
        <v>36</v>
      </c>
      <c r="D260">
        <v>2312</v>
      </c>
      <c r="E260" t="s">
        <v>26</v>
      </c>
      <c r="F260" t="s">
        <v>17</v>
      </c>
      <c r="G260" t="s">
        <v>37</v>
      </c>
      <c r="H260" s="1">
        <v>45302</v>
      </c>
      <c r="I260">
        <v>228.620871412708</v>
      </c>
      <c r="J260">
        <v>3</v>
      </c>
      <c r="K260">
        <v>685.86261423812402</v>
      </c>
      <c r="L260">
        <v>205.75878427143701</v>
      </c>
      <c r="M260" t="s">
        <v>19</v>
      </c>
      <c r="N260">
        <f>Supermarket_Sales_Case_Study[[#This Row],[Sales_Amount]]-Supermarket_Sales_Case_Study[[#This Row],[Profit]]</f>
        <v>480.10382996668704</v>
      </c>
      <c r="O260" s="2">
        <f>(Supermarket_Sales_Case_Study[[#This Row],[Sales_Amount]]-Supermarket_Sales_Case_Study[[#This Row],[Purchase]])/Supermarket_Sales_Case_Study[[#This Row],[Sales_Amount]]</f>
        <v>0.29999999999999966</v>
      </c>
      <c r="P260">
        <f>Supermarket_Sales_Case_Study[[#This Row],[Quantity]]*Supermarket_Sales_Case_Study[[#This Row],[Sales_Amount]]</f>
        <v>2057.5878427143721</v>
      </c>
    </row>
    <row r="261" spans="1:16" x14ac:dyDescent="0.3">
      <c r="A261" t="s">
        <v>291</v>
      </c>
      <c r="B261" t="s">
        <v>21</v>
      </c>
      <c r="C261" t="s">
        <v>36</v>
      </c>
      <c r="D261">
        <v>1336</v>
      </c>
      <c r="E261" t="s">
        <v>16</v>
      </c>
      <c r="F261" t="s">
        <v>17</v>
      </c>
      <c r="G261" t="s">
        <v>18</v>
      </c>
      <c r="H261" s="1">
        <v>45354</v>
      </c>
      <c r="I261">
        <v>262.72584219919401</v>
      </c>
      <c r="J261">
        <v>8</v>
      </c>
      <c r="K261">
        <v>2101.8067375935502</v>
      </c>
      <c r="L261">
        <v>630.54202127806695</v>
      </c>
      <c r="M261" t="s">
        <v>19</v>
      </c>
      <c r="N261">
        <f>Supermarket_Sales_Case_Study[[#This Row],[Sales_Amount]]-Supermarket_Sales_Case_Study[[#This Row],[Profit]]</f>
        <v>1471.2647163154834</v>
      </c>
      <c r="O261" s="2">
        <f>(Supermarket_Sales_Case_Study[[#This Row],[Sales_Amount]]-Supermarket_Sales_Case_Study[[#This Row],[Purchase]])/Supermarket_Sales_Case_Study[[#This Row],[Sales_Amount]]</f>
        <v>0.30000000000000082</v>
      </c>
      <c r="P261">
        <f>Supermarket_Sales_Case_Study[[#This Row],[Quantity]]*Supermarket_Sales_Case_Study[[#This Row],[Sales_Amount]]</f>
        <v>16814.453900748402</v>
      </c>
    </row>
    <row r="262" spans="1:16" x14ac:dyDescent="0.3">
      <c r="A262" t="s">
        <v>292</v>
      </c>
      <c r="B262" t="s">
        <v>21</v>
      </c>
      <c r="C262" t="s">
        <v>30</v>
      </c>
      <c r="D262">
        <v>1809</v>
      </c>
      <c r="E262" t="s">
        <v>26</v>
      </c>
      <c r="F262" t="s">
        <v>17</v>
      </c>
      <c r="G262" t="s">
        <v>23</v>
      </c>
      <c r="H262" s="1">
        <v>45348</v>
      </c>
      <c r="I262">
        <v>206.903762981032</v>
      </c>
      <c r="J262">
        <v>8</v>
      </c>
      <c r="K262">
        <v>1655.2301038482501</v>
      </c>
      <c r="L262">
        <v>496.56903115447699</v>
      </c>
      <c r="M262" t="s">
        <v>24</v>
      </c>
      <c r="N262">
        <f>Supermarket_Sales_Case_Study[[#This Row],[Sales_Amount]]-Supermarket_Sales_Case_Study[[#This Row],[Profit]]</f>
        <v>1158.6610726937731</v>
      </c>
      <c r="O262" s="2">
        <f>(Supermarket_Sales_Case_Study[[#This Row],[Sales_Amount]]-Supermarket_Sales_Case_Study[[#This Row],[Purchase]])/Supermarket_Sales_Case_Study[[#This Row],[Sales_Amount]]</f>
        <v>0.30000000000000115</v>
      </c>
      <c r="P262">
        <f>Supermarket_Sales_Case_Study[[#This Row],[Quantity]]*Supermarket_Sales_Case_Study[[#This Row],[Sales_Amount]]</f>
        <v>13241.840830786001</v>
      </c>
    </row>
    <row r="263" spans="1:16" x14ac:dyDescent="0.3">
      <c r="A263" t="s">
        <v>293</v>
      </c>
      <c r="B263" t="s">
        <v>39</v>
      </c>
      <c r="C263" t="s">
        <v>30</v>
      </c>
      <c r="D263">
        <v>2227</v>
      </c>
      <c r="E263" t="s">
        <v>16</v>
      </c>
      <c r="F263" t="s">
        <v>22</v>
      </c>
      <c r="G263" t="s">
        <v>37</v>
      </c>
      <c r="H263" s="1">
        <v>45303</v>
      </c>
      <c r="I263">
        <v>129.44077472107301</v>
      </c>
      <c r="J263">
        <v>4</v>
      </c>
      <c r="K263">
        <v>517.763098884295</v>
      </c>
      <c r="L263">
        <v>155.328929665288</v>
      </c>
      <c r="M263" t="s">
        <v>34</v>
      </c>
      <c r="N263">
        <f>Supermarket_Sales_Case_Study[[#This Row],[Sales_Amount]]-Supermarket_Sales_Case_Study[[#This Row],[Profit]]</f>
        <v>362.434169219007</v>
      </c>
      <c r="O263" s="2">
        <f>(Supermarket_Sales_Case_Study[[#This Row],[Sales_Amount]]-Supermarket_Sales_Case_Study[[#This Row],[Purchase]])/Supermarket_Sales_Case_Study[[#This Row],[Sales_Amount]]</f>
        <v>0.29999999999999905</v>
      </c>
      <c r="P263">
        <f>Supermarket_Sales_Case_Study[[#This Row],[Quantity]]*Supermarket_Sales_Case_Study[[#This Row],[Sales_Amount]]</f>
        <v>2071.05239553718</v>
      </c>
    </row>
    <row r="264" spans="1:16" x14ac:dyDescent="0.3">
      <c r="A264" t="s">
        <v>294</v>
      </c>
      <c r="B264" t="s">
        <v>14</v>
      </c>
      <c r="C264" t="s">
        <v>15</v>
      </c>
      <c r="D264">
        <v>2261</v>
      </c>
      <c r="E264" t="s">
        <v>26</v>
      </c>
      <c r="F264" t="s">
        <v>22</v>
      </c>
      <c r="G264" t="s">
        <v>33</v>
      </c>
      <c r="H264" s="1">
        <v>45364</v>
      </c>
      <c r="I264">
        <v>228.54244291626799</v>
      </c>
      <c r="J264">
        <v>6</v>
      </c>
      <c r="K264">
        <v>1371.25465749761</v>
      </c>
      <c r="L264">
        <v>411.376397249283</v>
      </c>
      <c r="M264" t="s">
        <v>34</v>
      </c>
      <c r="N264">
        <f>Supermarket_Sales_Case_Study[[#This Row],[Sales_Amount]]-Supermarket_Sales_Case_Study[[#This Row],[Profit]]</f>
        <v>959.87826024832702</v>
      </c>
      <c r="O264" s="2">
        <f>(Supermarket_Sales_Case_Study[[#This Row],[Sales_Amount]]-Supermarket_Sales_Case_Study[[#This Row],[Purchase]])/Supermarket_Sales_Case_Study[[#This Row],[Sales_Amount]]</f>
        <v>0.3</v>
      </c>
      <c r="P264">
        <f>Supermarket_Sales_Case_Study[[#This Row],[Quantity]]*Supermarket_Sales_Case_Study[[#This Row],[Sales_Amount]]</f>
        <v>8227.5279449856607</v>
      </c>
    </row>
    <row r="265" spans="1:16" x14ac:dyDescent="0.3">
      <c r="A265" t="s">
        <v>295</v>
      </c>
      <c r="B265" t="s">
        <v>14</v>
      </c>
      <c r="C265" t="s">
        <v>30</v>
      </c>
      <c r="D265">
        <v>2405</v>
      </c>
      <c r="E265" t="s">
        <v>16</v>
      </c>
      <c r="F265" t="s">
        <v>17</v>
      </c>
      <c r="G265" t="s">
        <v>31</v>
      </c>
      <c r="H265" s="1">
        <v>45293</v>
      </c>
      <c r="I265">
        <v>69.063469954078599</v>
      </c>
      <c r="J265">
        <v>8</v>
      </c>
      <c r="K265">
        <v>552.50775963262799</v>
      </c>
      <c r="L265">
        <v>165.75232788978801</v>
      </c>
      <c r="M265" t="s">
        <v>24</v>
      </c>
      <c r="N265">
        <f>Supermarket_Sales_Case_Study[[#This Row],[Sales_Amount]]-Supermarket_Sales_Case_Study[[#This Row],[Profit]]</f>
        <v>386.75543174283996</v>
      </c>
      <c r="O265" s="2">
        <f>(Supermarket_Sales_Case_Study[[#This Row],[Sales_Amount]]-Supermarket_Sales_Case_Study[[#This Row],[Purchase]])/Supermarket_Sales_Case_Study[[#This Row],[Sales_Amount]]</f>
        <v>0.29999999999999932</v>
      </c>
      <c r="P265">
        <f>Supermarket_Sales_Case_Study[[#This Row],[Quantity]]*Supermarket_Sales_Case_Study[[#This Row],[Sales_Amount]]</f>
        <v>4420.062077061024</v>
      </c>
    </row>
    <row r="266" spans="1:16" x14ac:dyDescent="0.3">
      <c r="A266" t="s">
        <v>296</v>
      </c>
      <c r="B266" t="s">
        <v>39</v>
      </c>
      <c r="C266" t="s">
        <v>30</v>
      </c>
      <c r="D266">
        <v>1751</v>
      </c>
      <c r="E266" t="s">
        <v>16</v>
      </c>
      <c r="F266" t="s">
        <v>17</v>
      </c>
      <c r="G266" t="s">
        <v>37</v>
      </c>
      <c r="H266" s="1">
        <v>45299</v>
      </c>
      <c r="I266">
        <v>104.990127902238</v>
      </c>
      <c r="J266">
        <v>7</v>
      </c>
      <c r="K266">
        <v>734.93089531566795</v>
      </c>
      <c r="L266">
        <v>220.47926859469999</v>
      </c>
      <c r="M266" t="s">
        <v>24</v>
      </c>
      <c r="N266">
        <f>Supermarket_Sales_Case_Study[[#This Row],[Sales_Amount]]-Supermarket_Sales_Case_Study[[#This Row],[Profit]]</f>
        <v>514.45162672096797</v>
      </c>
      <c r="O266" s="2">
        <f>(Supermarket_Sales_Case_Study[[#This Row],[Sales_Amount]]-Supermarket_Sales_Case_Study[[#This Row],[Purchase]])/Supermarket_Sales_Case_Study[[#This Row],[Sales_Amount]]</f>
        <v>0.29999999999999943</v>
      </c>
      <c r="P266">
        <f>Supermarket_Sales_Case_Study[[#This Row],[Quantity]]*Supermarket_Sales_Case_Study[[#This Row],[Sales_Amount]]</f>
        <v>5144.5162672096758</v>
      </c>
    </row>
    <row r="267" spans="1:16" x14ac:dyDescent="0.3">
      <c r="A267" t="s">
        <v>297</v>
      </c>
      <c r="B267" t="s">
        <v>39</v>
      </c>
      <c r="C267" t="s">
        <v>30</v>
      </c>
      <c r="D267">
        <v>2159</v>
      </c>
      <c r="E267" t="s">
        <v>26</v>
      </c>
      <c r="F267" t="s">
        <v>17</v>
      </c>
      <c r="G267" t="s">
        <v>33</v>
      </c>
      <c r="H267" s="1">
        <v>45302</v>
      </c>
      <c r="I267">
        <v>168.538723978793</v>
      </c>
      <c r="J267">
        <v>7</v>
      </c>
      <c r="K267">
        <v>1179.77106785155</v>
      </c>
      <c r="L267">
        <v>353.93132035546603</v>
      </c>
      <c r="M267" t="s">
        <v>19</v>
      </c>
      <c r="N267">
        <f>Supermarket_Sales_Case_Study[[#This Row],[Sales_Amount]]-Supermarket_Sales_Case_Study[[#This Row],[Profit]]</f>
        <v>825.83974749608399</v>
      </c>
      <c r="O267" s="2">
        <f>(Supermarket_Sales_Case_Study[[#This Row],[Sales_Amount]]-Supermarket_Sales_Case_Study[[#This Row],[Purchase]])/Supermarket_Sales_Case_Study[[#This Row],[Sales_Amount]]</f>
        <v>0.30000000000000088</v>
      </c>
      <c r="P267">
        <f>Supermarket_Sales_Case_Study[[#This Row],[Quantity]]*Supermarket_Sales_Case_Study[[#This Row],[Sales_Amount]]</f>
        <v>8258.3974749608496</v>
      </c>
    </row>
    <row r="268" spans="1:16" x14ac:dyDescent="0.3">
      <c r="A268" t="s">
        <v>298</v>
      </c>
      <c r="B268" t="s">
        <v>14</v>
      </c>
      <c r="C268" t="s">
        <v>36</v>
      </c>
      <c r="D268">
        <v>2430</v>
      </c>
      <c r="E268" t="s">
        <v>26</v>
      </c>
      <c r="F268" t="s">
        <v>22</v>
      </c>
      <c r="G268" t="s">
        <v>33</v>
      </c>
      <c r="H268" s="1">
        <v>45344</v>
      </c>
      <c r="I268">
        <v>176.86872231298301</v>
      </c>
      <c r="J268">
        <v>4</v>
      </c>
      <c r="K268">
        <v>707.47488925193204</v>
      </c>
      <c r="L268">
        <v>212.242466775579</v>
      </c>
      <c r="M268" t="s">
        <v>19</v>
      </c>
      <c r="N268">
        <f>Supermarket_Sales_Case_Study[[#This Row],[Sales_Amount]]-Supermarket_Sales_Case_Study[[#This Row],[Profit]]</f>
        <v>495.23242247635301</v>
      </c>
      <c r="O268" s="2">
        <f>(Supermarket_Sales_Case_Study[[#This Row],[Sales_Amount]]-Supermarket_Sales_Case_Study[[#This Row],[Purchase]])/Supermarket_Sales_Case_Study[[#This Row],[Sales_Amount]]</f>
        <v>0.29999999999999916</v>
      </c>
      <c r="P268">
        <f>Supermarket_Sales_Case_Study[[#This Row],[Quantity]]*Supermarket_Sales_Case_Study[[#This Row],[Sales_Amount]]</f>
        <v>2829.8995570077282</v>
      </c>
    </row>
    <row r="269" spans="1:16" x14ac:dyDescent="0.3">
      <c r="A269" t="s">
        <v>299</v>
      </c>
      <c r="B269" t="s">
        <v>14</v>
      </c>
      <c r="C269" t="s">
        <v>36</v>
      </c>
      <c r="D269">
        <v>2385</v>
      </c>
      <c r="E269" t="s">
        <v>26</v>
      </c>
      <c r="F269" t="s">
        <v>22</v>
      </c>
      <c r="G269" t="s">
        <v>31</v>
      </c>
      <c r="H269" s="1">
        <v>45301</v>
      </c>
      <c r="I269">
        <v>16.4210278870625</v>
      </c>
      <c r="J269">
        <v>9</v>
      </c>
      <c r="K269">
        <v>147.789250983562</v>
      </c>
      <c r="L269">
        <v>44.336775295068797</v>
      </c>
      <c r="M269" t="s">
        <v>24</v>
      </c>
      <c r="N269">
        <f>Supermarket_Sales_Case_Study[[#This Row],[Sales_Amount]]-Supermarket_Sales_Case_Study[[#This Row],[Profit]]</f>
        <v>103.45247568849319</v>
      </c>
      <c r="O269" s="2">
        <f>(Supermarket_Sales_Case_Study[[#This Row],[Sales_Amount]]-Supermarket_Sales_Case_Study[[#This Row],[Purchase]])/Supermarket_Sales_Case_Study[[#This Row],[Sales_Amount]]</f>
        <v>0.30000000000000138</v>
      </c>
      <c r="P269">
        <f>Supermarket_Sales_Case_Study[[#This Row],[Quantity]]*Supermarket_Sales_Case_Study[[#This Row],[Sales_Amount]]</f>
        <v>1330.1032588520579</v>
      </c>
    </row>
    <row r="270" spans="1:16" x14ac:dyDescent="0.3">
      <c r="A270" t="s">
        <v>300</v>
      </c>
      <c r="B270" t="s">
        <v>39</v>
      </c>
      <c r="C270" t="s">
        <v>15</v>
      </c>
      <c r="D270">
        <v>2404</v>
      </c>
      <c r="E270" t="s">
        <v>26</v>
      </c>
      <c r="F270" t="s">
        <v>22</v>
      </c>
      <c r="G270" t="s">
        <v>33</v>
      </c>
      <c r="H270" s="1">
        <v>45376</v>
      </c>
      <c r="I270">
        <v>284.08311473924198</v>
      </c>
      <c r="J270">
        <v>6</v>
      </c>
      <c r="K270">
        <v>1704.49868843545</v>
      </c>
      <c r="L270">
        <v>511.34960653063598</v>
      </c>
      <c r="M270" t="s">
        <v>19</v>
      </c>
      <c r="N270">
        <f>Supermarket_Sales_Case_Study[[#This Row],[Sales_Amount]]-Supermarket_Sales_Case_Study[[#This Row],[Profit]]</f>
        <v>1193.149081904814</v>
      </c>
      <c r="O270" s="2">
        <f>(Supermarket_Sales_Case_Study[[#This Row],[Sales_Amount]]-Supermarket_Sales_Case_Study[[#This Row],[Purchase]])/Supermarket_Sales_Case_Study[[#This Row],[Sales_Amount]]</f>
        <v>0.3000000000000006</v>
      </c>
      <c r="P270">
        <f>Supermarket_Sales_Case_Study[[#This Row],[Quantity]]*Supermarket_Sales_Case_Study[[#This Row],[Sales_Amount]]</f>
        <v>10226.9921306127</v>
      </c>
    </row>
    <row r="271" spans="1:16" x14ac:dyDescent="0.3">
      <c r="A271" t="s">
        <v>301</v>
      </c>
      <c r="B271" t="s">
        <v>21</v>
      </c>
      <c r="C271" t="s">
        <v>30</v>
      </c>
      <c r="D271">
        <v>1880</v>
      </c>
      <c r="E271" t="s">
        <v>16</v>
      </c>
      <c r="F271" t="s">
        <v>22</v>
      </c>
      <c r="G271" t="s">
        <v>18</v>
      </c>
      <c r="H271" s="1">
        <v>45375</v>
      </c>
      <c r="I271">
        <v>212.021908653043</v>
      </c>
      <c r="J271">
        <v>3</v>
      </c>
      <c r="K271">
        <v>636.06572595912905</v>
      </c>
      <c r="L271">
        <v>190.819717787738</v>
      </c>
      <c r="M271" t="s">
        <v>34</v>
      </c>
      <c r="N271">
        <f>Supermarket_Sales_Case_Study[[#This Row],[Sales_Amount]]-Supermarket_Sales_Case_Study[[#This Row],[Profit]]</f>
        <v>445.24600817139105</v>
      </c>
      <c r="O271" s="2">
        <f>(Supermarket_Sales_Case_Study[[#This Row],[Sales_Amount]]-Supermarket_Sales_Case_Study[[#This Row],[Purchase]])/Supermarket_Sales_Case_Study[[#This Row],[Sales_Amount]]</f>
        <v>0.29999999999999888</v>
      </c>
      <c r="P271">
        <f>Supermarket_Sales_Case_Study[[#This Row],[Quantity]]*Supermarket_Sales_Case_Study[[#This Row],[Sales_Amount]]</f>
        <v>1908.1971778773873</v>
      </c>
    </row>
    <row r="272" spans="1:16" x14ac:dyDescent="0.3">
      <c r="A272" t="s">
        <v>302</v>
      </c>
      <c r="B272" t="s">
        <v>21</v>
      </c>
      <c r="C272" t="s">
        <v>30</v>
      </c>
      <c r="D272">
        <v>1634</v>
      </c>
      <c r="E272" t="s">
        <v>16</v>
      </c>
      <c r="F272" t="s">
        <v>17</v>
      </c>
      <c r="G272" t="s">
        <v>31</v>
      </c>
      <c r="H272" s="1">
        <v>45299</v>
      </c>
      <c r="I272">
        <v>153.75408756724801</v>
      </c>
      <c r="J272">
        <v>5</v>
      </c>
      <c r="K272">
        <v>768.77043783624197</v>
      </c>
      <c r="L272">
        <v>230.63113135087201</v>
      </c>
      <c r="M272" t="s">
        <v>24</v>
      </c>
      <c r="N272">
        <f>Supermarket_Sales_Case_Study[[#This Row],[Sales_Amount]]-Supermarket_Sales_Case_Study[[#This Row],[Profit]]</f>
        <v>538.13930648536996</v>
      </c>
      <c r="O272" s="2">
        <f>(Supermarket_Sales_Case_Study[[#This Row],[Sales_Amount]]-Supermarket_Sales_Case_Study[[#This Row],[Purchase]])/Supermarket_Sales_Case_Study[[#This Row],[Sales_Amount]]</f>
        <v>0.29999999999999927</v>
      </c>
      <c r="P272">
        <f>Supermarket_Sales_Case_Study[[#This Row],[Quantity]]*Supermarket_Sales_Case_Study[[#This Row],[Sales_Amount]]</f>
        <v>3843.8521891812097</v>
      </c>
    </row>
    <row r="273" spans="1:16" x14ac:dyDescent="0.3">
      <c r="A273" t="s">
        <v>303</v>
      </c>
      <c r="B273" t="s">
        <v>39</v>
      </c>
      <c r="C273" t="s">
        <v>15</v>
      </c>
      <c r="D273">
        <v>1253</v>
      </c>
      <c r="E273" t="s">
        <v>26</v>
      </c>
      <c r="F273" t="s">
        <v>17</v>
      </c>
      <c r="G273" t="s">
        <v>33</v>
      </c>
      <c r="H273" s="1">
        <v>45327</v>
      </c>
      <c r="I273">
        <v>280.60689797840899</v>
      </c>
      <c r="J273">
        <v>5</v>
      </c>
      <c r="K273">
        <v>1403.03448989204</v>
      </c>
      <c r="L273">
        <v>420.91034696761398</v>
      </c>
      <c r="M273" t="s">
        <v>24</v>
      </c>
      <c r="N273">
        <f>Supermarket_Sales_Case_Study[[#This Row],[Sales_Amount]]-Supermarket_Sales_Case_Study[[#This Row],[Profit]]</f>
        <v>982.124142924426</v>
      </c>
      <c r="O273" s="2">
        <f>(Supermarket_Sales_Case_Study[[#This Row],[Sales_Amount]]-Supermarket_Sales_Case_Study[[#This Row],[Purchase]])/Supermarket_Sales_Case_Study[[#This Row],[Sales_Amount]]</f>
        <v>0.30000000000000143</v>
      </c>
      <c r="P273">
        <f>Supermarket_Sales_Case_Study[[#This Row],[Quantity]]*Supermarket_Sales_Case_Study[[#This Row],[Sales_Amount]]</f>
        <v>7015.1724494602004</v>
      </c>
    </row>
    <row r="274" spans="1:16" x14ac:dyDescent="0.3">
      <c r="A274" t="s">
        <v>304</v>
      </c>
      <c r="B274" t="s">
        <v>21</v>
      </c>
      <c r="C274" t="s">
        <v>30</v>
      </c>
      <c r="D274">
        <v>2137</v>
      </c>
      <c r="E274" t="s">
        <v>16</v>
      </c>
      <c r="F274" t="s">
        <v>17</v>
      </c>
      <c r="G274" t="s">
        <v>28</v>
      </c>
      <c r="H274" s="1">
        <v>45367</v>
      </c>
      <c r="I274">
        <v>137.33771392273999</v>
      </c>
      <c r="J274">
        <v>5</v>
      </c>
      <c r="K274">
        <v>686.68856961370102</v>
      </c>
      <c r="L274">
        <v>206.00657088411</v>
      </c>
      <c r="M274" t="s">
        <v>34</v>
      </c>
      <c r="N274">
        <f>Supermarket_Sales_Case_Study[[#This Row],[Sales_Amount]]-Supermarket_Sales_Case_Study[[#This Row],[Profit]]</f>
        <v>480.68199872959099</v>
      </c>
      <c r="O274" s="2">
        <f>(Supermarket_Sales_Case_Study[[#This Row],[Sales_Amount]]-Supermarket_Sales_Case_Study[[#This Row],[Purchase]])/Supermarket_Sales_Case_Study[[#This Row],[Sales_Amount]]</f>
        <v>0.2999999999999996</v>
      </c>
      <c r="P274">
        <f>Supermarket_Sales_Case_Study[[#This Row],[Quantity]]*Supermarket_Sales_Case_Study[[#This Row],[Sales_Amount]]</f>
        <v>3433.4428480685051</v>
      </c>
    </row>
    <row r="275" spans="1:16" x14ac:dyDescent="0.3">
      <c r="A275" t="s">
        <v>305</v>
      </c>
      <c r="B275" t="s">
        <v>39</v>
      </c>
      <c r="C275" t="s">
        <v>30</v>
      </c>
      <c r="D275">
        <v>1019</v>
      </c>
      <c r="E275" t="s">
        <v>26</v>
      </c>
      <c r="F275" t="s">
        <v>22</v>
      </c>
      <c r="G275" t="s">
        <v>37</v>
      </c>
      <c r="H275" s="1">
        <v>45305</v>
      </c>
      <c r="I275">
        <v>294.326315378407</v>
      </c>
      <c r="J275">
        <v>8</v>
      </c>
      <c r="K275">
        <v>2354.6105230272601</v>
      </c>
      <c r="L275">
        <v>706.38315690817797</v>
      </c>
      <c r="M275" t="s">
        <v>34</v>
      </c>
      <c r="N275">
        <f>Supermarket_Sales_Case_Study[[#This Row],[Sales_Amount]]-Supermarket_Sales_Case_Study[[#This Row],[Profit]]</f>
        <v>1648.227366119082</v>
      </c>
      <c r="O275" s="2">
        <f>(Supermarket_Sales_Case_Study[[#This Row],[Sales_Amount]]-Supermarket_Sales_Case_Study[[#This Row],[Purchase]])/Supermarket_Sales_Case_Study[[#This Row],[Sales_Amount]]</f>
        <v>0.30000000000000004</v>
      </c>
      <c r="P275">
        <f>Supermarket_Sales_Case_Study[[#This Row],[Quantity]]*Supermarket_Sales_Case_Study[[#This Row],[Sales_Amount]]</f>
        <v>18836.884184218081</v>
      </c>
    </row>
    <row r="276" spans="1:16" x14ac:dyDescent="0.3">
      <c r="A276" t="s">
        <v>306</v>
      </c>
      <c r="B276" t="s">
        <v>21</v>
      </c>
      <c r="C276" t="s">
        <v>36</v>
      </c>
      <c r="D276">
        <v>1527</v>
      </c>
      <c r="E276" t="s">
        <v>26</v>
      </c>
      <c r="F276" t="s">
        <v>17</v>
      </c>
      <c r="G276" t="s">
        <v>33</v>
      </c>
      <c r="H276" s="1">
        <v>45345</v>
      </c>
      <c r="I276">
        <v>158.56257960061001</v>
      </c>
      <c r="J276">
        <v>9</v>
      </c>
      <c r="K276">
        <v>1427.06321640549</v>
      </c>
      <c r="L276">
        <v>428.118964921648</v>
      </c>
      <c r="M276" t="s">
        <v>34</v>
      </c>
      <c r="N276">
        <f>Supermarket_Sales_Case_Study[[#This Row],[Sales_Amount]]-Supermarket_Sales_Case_Study[[#This Row],[Profit]]</f>
        <v>998.94425148384198</v>
      </c>
      <c r="O276" s="2">
        <f>(Supermarket_Sales_Case_Study[[#This Row],[Sales_Amount]]-Supermarket_Sales_Case_Study[[#This Row],[Purchase]])/Supermarket_Sales_Case_Study[[#This Row],[Sales_Amount]]</f>
        <v>0.30000000000000071</v>
      </c>
      <c r="P276">
        <f>Supermarket_Sales_Case_Study[[#This Row],[Quantity]]*Supermarket_Sales_Case_Study[[#This Row],[Sales_Amount]]</f>
        <v>12843.56894764941</v>
      </c>
    </row>
    <row r="277" spans="1:16" x14ac:dyDescent="0.3">
      <c r="A277" t="s">
        <v>307</v>
      </c>
      <c r="B277" t="s">
        <v>21</v>
      </c>
      <c r="C277" t="s">
        <v>15</v>
      </c>
      <c r="D277">
        <v>2168</v>
      </c>
      <c r="E277" t="s">
        <v>16</v>
      </c>
      <c r="F277" t="s">
        <v>22</v>
      </c>
      <c r="G277" t="s">
        <v>18</v>
      </c>
      <c r="H277" s="1">
        <v>45376</v>
      </c>
      <c r="I277">
        <v>43.142873299413999</v>
      </c>
      <c r="J277">
        <v>9</v>
      </c>
      <c r="K277">
        <v>388.28585969472601</v>
      </c>
      <c r="L277">
        <v>116.485757908417</v>
      </c>
      <c r="M277" t="s">
        <v>19</v>
      </c>
      <c r="N277">
        <f>Supermarket_Sales_Case_Study[[#This Row],[Sales_Amount]]-Supermarket_Sales_Case_Study[[#This Row],[Profit]]</f>
        <v>271.80010178630903</v>
      </c>
      <c r="O277" s="2">
        <f>(Supermarket_Sales_Case_Study[[#This Row],[Sales_Amount]]-Supermarket_Sales_Case_Study[[#This Row],[Purchase]])/Supermarket_Sales_Case_Study[[#This Row],[Sales_Amount]]</f>
        <v>0.29999999999999788</v>
      </c>
      <c r="P277">
        <f>Supermarket_Sales_Case_Study[[#This Row],[Quantity]]*Supermarket_Sales_Case_Study[[#This Row],[Sales_Amount]]</f>
        <v>3494.5727372525344</v>
      </c>
    </row>
    <row r="278" spans="1:16" x14ac:dyDescent="0.3">
      <c r="A278" t="s">
        <v>308</v>
      </c>
      <c r="B278" t="s">
        <v>14</v>
      </c>
      <c r="C278" t="s">
        <v>15</v>
      </c>
      <c r="D278">
        <v>2231</v>
      </c>
      <c r="E278" t="s">
        <v>16</v>
      </c>
      <c r="F278" t="s">
        <v>22</v>
      </c>
      <c r="G278" t="s">
        <v>23</v>
      </c>
      <c r="H278" s="1">
        <v>45377</v>
      </c>
      <c r="I278">
        <v>231.79228201319</v>
      </c>
      <c r="J278">
        <v>6</v>
      </c>
      <c r="K278">
        <v>1390.7536920791399</v>
      </c>
      <c r="L278">
        <v>417.226107623742</v>
      </c>
      <c r="M278" t="s">
        <v>24</v>
      </c>
      <c r="N278">
        <f>Supermarket_Sales_Case_Study[[#This Row],[Sales_Amount]]-Supermarket_Sales_Case_Study[[#This Row],[Profit]]</f>
        <v>973.52758445539791</v>
      </c>
      <c r="O278" s="2">
        <f>(Supermarket_Sales_Case_Study[[#This Row],[Sales_Amount]]-Supermarket_Sales_Case_Study[[#This Row],[Purchase]])/Supermarket_Sales_Case_Study[[#This Row],[Sales_Amount]]</f>
        <v>0.3</v>
      </c>
      <c r="P278">
        <f>Supermarket_Sales_Case_Study[[#This Row],[Quantity]]*Supermarket_Sales_Case_Study[[#This Row],[Sales_Amount]]</f>
        <v>8344.5221524748395</v>
      </c>
    </row>
    <row r="279" spans="1:16" x14ac:dyDescent="0.3">
      <c r="A279" t="s">
        <v>309</v>
      </c>
      <c r="B279" t="s">
        <v>14</v>
      </c>
      <c r="C279" t="s">
        <v>15</v>
      </c>
      <c r="D279">
        <v>1375</v>
      </c>
      <c r="E279" t="s">
        <v>16</v>
      </c>
      <c r="F279" t="s">
        <v>17</v>
      </c>
      <c r="G279" t="s">
        <v>33</v>
      </c>
      <c r="H279" s="1">
        <v>45312</v>
      </c>
      <c r="I279">
        <v>206.88034027257299</v>
      </c>
      <c r="J279">
        <v>6</v>
      </c>
      <c r="K279">
        <v>1241.28204163544</v>
      </c>
      <c r="L279">
        <v>372.38461249063198</v>
      </c>
      <c r="M279" t="s">
        <v>19</v>
      </c>
      <c r="N279">
        <f>Supermarket_Sales_Case_Study[[#This Row],[Sales_Amount]]-Supermarket_Sales_Case_Study[[#This Row],[Profit]]</f>
        <v>868.89742914480803</v>
      </c>
      <c r="O279" s="2">
        <f>(Supermarket_Sales_Case_Study[[#This Row],[Sales_Amount]]-Supermarket_Sales_Case_Study[[#This Row],[Purchase]])/Supermarket_Sales_Case_Study[[#This Row],[Sales_Amount]]</f>
        <v>0.3</v>
      </c>
      <c r="P279">
        <f>Supermarket_Sales_Case_Study[[#This Row],[Quantity]]*Supermarket_Sales_Case_Study[[#This Row],[Sales_Amount]]</f>
        <v>7447.6922498126405</v>
      </c>
    </row>
    <row r="280" spans="1:16" x14ac:dyDescent="0.3">
      <c r="A280" t="s">
        <v>310</v>
      </c>
      <c r="B280" t="s">
        <v>21</v>
      </c>
      <c r="C280" t="s">
        <v>15</v>
      </c>
      <c r="D280">
        <v>1165</v>
      </c>
      <c r="E280" t="s">
        <v>16</v>
      </c>
      <c r="F280" t="s">
        <v>17</v>
      </c>
      <c r="G280" t="s">
        <v>23</v>
      </c>
      <c r="H280" s="1">
        <v>45341</v>
      </c>
      <c r="I280">
        <v>234.16614917862</v>
      </c>
      <c r="J280">
        <v>9</v>
      </c>
      <c r="K280">
        <v>2107.4953426075799</v>
      </c>
      <c r="L280">
        <v>632.24860278227402</v>
      </c>
      <c r="M280" t="s">
        <v>34</v>
      </c>
      <c r="N280">
        <f>Supermarket_Sales_Case_Study[[#This Row],[Sales_Amount]]-Supermarket_Sales_Case_Study[[#This Row],[Profit]]</f>
        <v>1475.2467398253059</v>
      </c>
      <c r="O280" s="2">
        <f>(Supermarket_Sales_Case_Study[[#This Row],[Sales_Amount]]-Supermarket_Sales_Case_Study[[#This Row],[Purchase]])/Supermarket_Sales_Case_Study[[#This Row],[Sales_Amount]]</f>
        <v>0.30000000000000004</v>
      </c>
      <c r="P280">
        <f>Supermarket_Sales_Case_Study[[#This Row],[Quantity]]*Supermarket_Sales_Case_Study[[#This Row],[Sales_Amount]]</f>
        <v>18967.45808346822</v>
      </c>
    </row>
    <row r="281" spans="1:16" x14ac:dyDescent="0.3">
      <c r="A281" t="s">
        <v>311</v>
      </c>
      <c r="B281" t="s">
        <v>21</v>
      </c>
      <c r="C281" t="s">
        <v>36</v>
      </c>
      <c r="D281">
        <v>2204</v>
      </c>
      <c r="E281" t="s">
        <v>16</v>
      </c>
      <c r="F281" t="s">
        <v>17</v>
      </c>
      <c r="G281" t="s">
        <v>28</v>
      </c>
      <c r="H281" s="1">
        <v>45330</v>
      </c>
      <c r="I281">
        <v>285.91818833044698</v>
      </c>
      <c r="J281">
        <v>4</v>
      </c>
      <c r="K281">
        <v>1143.67275332179</v>
      </c>
      <c r="L281">
        <v>343.101825996537</v>
      </c>
      <c r="M281" t="s">
        <v>19</v>
      </c>
      <c r="N281">
        <f>Supermarket_Sales_Case_Study[[#This Row],[Sales_Amount]]-Supermarket_Sales_Case_Study[[#This Row],[Profit]]</f>
        <v>800.57092732525302</v>
      </c>
      <c r="O281" s="2">
        <f>(Supermarket_Sales_Case_Study[[#This Row],[Sales_Amount]]-Supermarket_Sales_Case_Study[[#This Row],[Purchase]])/Supermarket_Sales_Case_Study[[#This Row],[Sales_Amount]]</f>
        <v>0.29999999999999993</v>
      </c>
      <c r="P281">
        <f>Supermarket_Sales_Case_Study[[#This Row],[Quantity]]*Supermarket_Sales_Case_Study[[#This Row],[Sales_Amount]]</f>
        <v>4574.6910132871599</v>
      </c>
    </row>
    <row r="282" spans="1:16" x14ac:dyDescent="0.3">
      <c r="A282" t="s">
        <v>312</v>
      </c>
      <c r="B282" t="s">
        <v>14</v>
      </c>
      <c r="C282" t="s">
        <v>36</v>
      </c>
      <c r="D282">
        <v>1860</v>
      </c>
      <c r="E282" t="s">
        <v>16</v>
      </c>
      <c r="F282" t="s">
        <v>22</v>
      </c>
      <c r="G282" t="s">
        <v>33</v>
      </c>
      <c r="H282" s="1">
        <v>45311</v>
      </c>
      <c r="I282">
        <v>235.18189776879501</v>
      </c>
      <c r="J282">
        <v>6</v>
      </c>
      <c r="K282">
        <v>1411.0913866127701</v>
      </c>
      <c r="L282">
        <v>423.32741598383097</v>
      </c>
      <c r="M282" t="s">
        <v>34</v>
      </c>
      <c r="N282">
        <f>Supermarket_Sales_Case_Study[[#This Row],[Sales_Amount]]-Supermarket_Sales_Case_Study[[#This Row],[Profit]]</f>
        <v>987.76397062893909</v>
      </c>
      <c r="O282" s="2">
        <f>(Supermarket_Sales_Case_Study[[#This Row],[Sales_Amount]]-Supermarket_Sales_Case_Study[[#This Row],[Purchase]])/Supermarket_Sales_Case_Study[[#This Row],[Sales_Amount]]</f>
        <v>0.3</v>
      </c>
      <c r="P282">
        <f>Supermarket_Sales_Case_Study[[#This Row],[Quantity]]*Supermarket_Sales_Case_Study[[#This Row],[Sales_Amount]]</f>
        <v>8466.5483196766199</v>
      </c>
    </row>
    <row r="283" spans="1:16" x14ac:dyDescent="0.3">
      <c r="A283" t="s">
        <v>313</v>
      </c>
      <c r="B283" t="s">
        <v>14</v>
      </c>
      <c r="C283" t="s">
        <v>30</v>
      </c>
      <c r="D283">
        <v>1616</v>
      </c>
      <c r="E283" t="s">
        <v>16</v>
      </c>
      <c r="F283" t="s">
        <v>22</v>
      </c>
      <c r="G283" t="s">
        <v>31</v>
      </c>
      <c r="H283" s="1">
        <v>45379</v>
      </c>
      <c r="I283">
        <v>187.28761464282701</v>
      </c>
      <c r="J283">
        <v>4</v>
      </c>
      <c r="K283">
        <v>749.15045857130997</v>
      </c>
      <c r="L283">
        <v>224.745137571393</v>
      </c>
      <c r="M283" t="s">
        <v>19</v>
      </c>
      <c r="N283">
        <f>Supermarket_Sales_Case_Study[[#This Row],[Sales_Amount]]-Supermarket_Sales_Case_Study[[#This Row],[Profit]]</f>
        <v>524.40532099991697</v>
      </c>
      <c r="O283" s="2">
        <f>(Supermarket_Sales_Case_Study[[#This Row],[Sales_Amount]]-Supermarket_Sales_Case_Study[[#This Row],[Purchase]])/Supermarket_Sales_Case_Study[[#This Row],[Sales_Amount]]</f>
        <v>0.3</v>
      </c>
      <c r="P283">
        <f>Supermarket_Sales_Case_Study[[#This Row],[Quantity]]*Supermarket_Sales_Case_Study[[#This Row],[Sales_Amount]]</f>
        <v>2996.6018342852399</v>
      </c>
    </row>
    <row r="284" spans="1:16" x14ac:dyDescent="0.3">
      <c r="A284" t="s">
        <v>314</v>
      </c>
      <c r="B284" t="s">
        <v>14</v>
      </c>
      <c r="C284" t="s">
        <v>30</v>
      </c>
      <c r="D284">
        <v>1611</v>
      </c>
      <c r="E284" t="s">
        <v>26</v>
      </c>
      <c r="F284" t="s">
        <v>17</v>
      </c>
      <c r="G284" t="s">
        <v>23</v>
      </c>
      <c r="H284" s="1">
        <v>45378</v>
      </c>
      <c r="I284">
        <v>258.61958168464298</v>
      </c>
      <c r="J284">
        <v>1</v>
      </c>
      <c r="K284">
        <v>258.61958168464298</v>
      </c>
      <c r="L284">
        <v>77.585874505393093</v>
      </c>
      <c r="M284" t="s">
        <v>19</v>
      </c>
      <c r="N284">
        <f>Supermarket_Sales_Case_Study[[#This Row],[Sales_Amount]]-Supermarket_Sales_Case_Study[[#This Row],[Profit]]</f>
        <v>181.03370717924989</v>
      </c>
      <c r="O284" s="2">
        <f>(Supermarket_Sales_Case_Study[[#This Row],[Sales_Amount]]-Supermarket_Sales_Case_Study[[#This Row],[Purchase]])/Supermarket_Sales_Case_Study[[#This Row],[Sales_Amount]]</f>
        <v>0.30000000000000077</v>
      </c>
      <c r="P284">
        <f>Supermarket_Sales_Case_Study[[#This Row],[Quantity]]*Supermarket_Sales_Case_Study[[#This Row],[Sales_Amount]]</f>
        <v>258.61958168464298</v>
      </c>
    </row>
    <row r="285" spans="1:16" x14ac:dyDescent="0.3">
      <c r="A285" t="s">
        <v>315</v>
      </c>
      <c r="B285" t="s">
        <v>39</v>
      </c>
      <c r="C285" t="s">
        <v>30</v>
      </c>
      <c r="D285">
        <v>2467</v>
      </c>
      <c r="E285" t="s">
        <v>26</v>
      </c>
      <c r="F285" t="s">
        <v>17</v>
      </c>
      <c r="G285" t="s">
        <v>28</v>
      </c>
      <c r="H285" s="1">
        <v>45298</v>
      </c>
      <c r="I285">
        <v>205.24146741281399</v>
      </c>
      <c r="J285">
        <v>7</v>
      </c>
      <c r="K285">
        <v>1436.6902718896899</v>
      </c>
      <c r="L285">
        <v>431.00708156690899</v>
      </c>
      <c r="M285" t="s">
        <v>34</v>
      </c>
      <c r="N285">
        <f>Supermarket_Sales_Case_Study[[#This Row],[Sales_Amount]]-Supermarket_Sales_Case_Study[[#This Row],[Profit]]</f>
        <v>1005.683190322781</v>
      </c>
      <c r="O285" s="2">
        <f>(Supermarket_Sales_Case_Study[[#This Row],[Sales_Amount]]-Supermarket_Sales_Case_Study[[#This Row],[Purchase]])/Supermarket_Sales_Case_Study[[#This Row],[Sales_Amount]]</f>
        <v>0.30000000000000138</v>
      </c>
      <c r="P285">
        <f>Supermarket_Sales_Case_Study[[#This Row],[Quantity]]*Supermarket_Sales_Case_Study[[#This Row],[Sales_Amount]]</f>
        <v>10056.83190322783</v>
      </c>
    </row>
    <row r="286" spans="1:16" x14ac:dyDescent="0.3">
      <c r="A286" t="s">
        <v>316</v>
      </c>
      <c r="B286" t="s">
        <v>21</v>
      </c>
      <c r="C286" t="s">
        <v>30</v>
      </c>
      <c r="D286">
        <v>2355</v>
      </c>
      <c r="E286" t="s">
        <v>26</v>
      </c>
      <c r="F286" t="s">
        <v>22</v>
      </c>
      <c r="G286" t="s">
        <v>31</v>
      </c>
      <c r="H286" s="1">
        <v>45300</v>
      </c>
      <c r="I286">
        <v>128.35452647951701</v>
      </c>
      <c r="J286">
        <v>6</v>
      </c>
      <c r="K286">
        <v>770.12715887710601</v>
      </c>
      <c r="L286">
        <v>231.03814766313101</v>
      </c>
      <c r="M286" t="s">
        <v>19</v>
      </c>
      <c r="N286">
        <f>Supermarket_Sales_Case_Study[[#This Row],[Sales_Amount]]-Supermarket_Sales_Case_Study[[#This Row],[Profit]]</f>
        <v>539.08901121397503</v>
      </c>
      <c r="O286" s="2">
        <f>(Supermarket_Sales_Case_Study[[#This Row],[Sales_Amount]]-Supermarket_Sales_Case_Study[[#This Row],[Purchase]])/Supermarket_Sales_Case_Study[[#This Row],[Sales_Amount]]</f>
        <v>0.29999999999999893</v>
      </c>
      <c r="P286">
        <f>Supermarket_Sales_Case_Study[[#This Row],[Quantity]]*Supermarket_Sales_Case_Study[[#This Row],[Sales_Amount]]</f>
        <v>4620.7629532626361</v>
      </c>
    </row>
    <row r="287" spans="1:16" x14ac:dyDescent="0.3">
      <c r="A287" t="s">
        <v>317</v>
      </c>
      <c r="B287" t="s">
        <v>14</v>
      </c>
      <c r="C287" t="s">
        <v>36</v>
      </c>
      <c r="D287">
        <v>1502</v>
      </c>
      <c r="E287" t="s">
        <v>26</v>
      </c>
      <c r="F287" t="s">
        <v>17</v>
      </c>
      <c r="G287" t="s">
        <v>31</v>
      </c>
      <c r="H287" s="1">
        <v>45292</v>
      </c>
      <c r="I287">
        <v>266.829731630114</v>
      </c>
      <c r="J287">
        <v>9</v>
      </c>
      <c r="K287">
        <v>2401.4675846710202</v>
      </c>
      <c r="L287">
        <v>720.44027540130799</v>
      </c>
      <c r="M287" t="s">
        <v>24</v>
      </c>
      <c r="N287">
        <f>Supermarket_Sales_Case_Study[[#This Row],[Sales_Amount]]-Supermarket_Sales_Case_Study[[#This Row],[Profit]]</f>
        <v>1681.0273092697121</v>
      </c>
      <c r="O287" s="2">
        <f>(Supermarket_Sales_Case_Study[[#This Row],[Sales_Amount]]-Supermarket_Sales_Case_Study[[#This Row],[Purchase]])/Supermarket_Sales_Case_Study[[#This Row],[Sales_Amount]]</f>
        <v>0.30000000000000088</v>
      </c>
      <c r="P287">
        <f>Supermarket_Sales_Case_Study[[#This Row],[Quantity]]*Supermarket_Sales_Case_Study[[#This Row],[Sales_Amount]]</f>
        <v>21613.208262039181</v>
      </c>
    </row>
    <row r="288" spans="1:16" x14ac:dyDescent="0.3">
      <c r="A288" t="s">
        <v>318</v>
      </c>
      <c r="B288" t="s">
        <v>21</v>
      </c>
      <c r="C288" t="s">
        <v>15</v>
      </c>
      <c r="D288">
        <v>1912</v>
      </c>
      <c r="E288" t="s">
        <v>26</v>
      </c>
      <c r="F288" t="s">
        <v>22</v>
      </c>
      <c r="G288" t="s">
        <v>31</v>
      </c>
      <c r="H288" s="1">
        <v>45317</v>
      </c>
      <c r="I288">
        <v>74.351133627468101</v>
      </c>
      <c r="J288">
        <v>7</v>
      </c>
      <c r="K288">
        <v>520.457935392276</v>
      </c>
      <c r="L288">
        <v>156.13738061768299</v>
      </c>
      <c r="M288" t="s">
        <v>19</v>
      </c>
      <c r="N288">
        <f>Supermarket_Sales_Case_Study[[#This Row],[Sales_Amount]]-Supermarket_Sales_Case_Study[[#This Row],[Profit]]</f>
        <v>364.32055477459301</v>
      </c>
      <c r="O288" s="2">
        <f>(Supermarket_Sales_Case_Study[[#This Row],[Sales_Amount]]-Supermarket_Sales_Case_Study[[#This Row],[Purchase]])/Supermarket_Sales_Case_Study[[#This Row],[Sales_Amount]]</f>
        <v>0.30000000000000038</v>
      </c>
      <c r="P288">
        <f>Supermarket_Sales_Case_Study[[#This Row],[Quantity]]*Supermarket_Sales_Case_Study[[#This Row],[Sales_Amount]]</f>
        <v>3643.2055477459321</v>
      </c>
    </row>
    <row r="289" spans="1:16" x14ac:dyDescent="0.3">
      <c r="A289" t="s">
        <v>319</v>
      </c>
      <c r="B289" t="s">
        <v>39</v>
      </c>
      <c r="C289" t="s">
        <v>36</v>
      </c>
      <c r="D289">
        <v>1078</v>
      </c>
      <c r="E289" t="s">
        <v>16</v>
      </c>
      <c r="F289" t="s">
        <v>22</v>
      </c>
      <c r="G289" t="s">
        <v>31</v>
      </c>
      <c r="H289" s="1">
        <v>45329</v>
      </c>
      <c r="I289">
        <v>217.24596972353001</v>
      </c>
      <c r="J289">
        <v>7</v>
      </c>
      <c r="K289">
        <v>1520.7217880647099</v>
      </c>
      <c r="L289">
        <v>456.21653641941299</v>
      </c>
      <c r="M289" t="s">
        <v>19</v>
      </c>
      <c r="N289">
        <f>Supermarket_Sales_Case_Study[[#This Row],[Sales_Amount]]-Supermarket_Sales_Case_Study[[#This Row],[Profit]]</f>
        <v>1064.505251645297</v>
      </c>
      <c r="O289" s="2">
        <f>(Supermarket_Sales_Case_Study[[#This Row],[Sales_Amount]]-Supermarket_Sales_Case_Study[[#This Row],[Purchase]])/Supermarket_Sales_Case_Study[[#This Row],[Sales_Amount]]</f>
        <v>0.3</v>
      </c>
      <c r="P289">
        <f>Supermarket_Sales_Case_Study[[#This Row],[Quantity]]*Supermarket_Sales_Case_Study[[#This Row],[Sales_Amount]]</f>
        <v>10645.05251645297</v>
      </c>
    </row>
    <row r="290" spans="1:16" x14ac:dyDescent="0.3">
      <c r="A290" t="s">
        <v>320</v>
      </c>
      <c r="B290" t="s">
        <v>39</v>
      </c>
      <c r="C290" t="s">
        <v>30</v>
      </c>
      <c r="D290">
        <v>1584</v>
      </c>
      <c r="E290" t="s">
        <v>26</v>
      </c>
      <c r="F290" t="s">
        <v>17</v>
      </c>
      <c r="G290" t="s">
        <v>33</v>
      </c>
      <c r="H290" s="1">
        <v>45329</v>
      </c>
      <c r="I290">
        <v>265.65340193281901</v>
      </c>
      <c r="J290">
        <v>2</v>
      </c>
      <c r="K290">
        <v>531.30680386563904</v>
      </c>
      <c r="L290">
        <v>159.39204115969099</v>
      </c>
      <c r="M290" t="s">
        <v>24</v>
      </c>
      <c r="N290">
        <f>Supermarket_Sales_Case_Study[[#This Row],[Sales_Amount]]-Supermarket_Sales_Case_Study[[#This Row],[Profit]]</f>
        <v>371.91476270594808</v>
      </c>
      <c r="O290" s="2">
        <f>(Supermarket_Sales_Case_Study[[#This Row],[Sales_Amount]]-Supermarket_Sales_Case_Study[[#This Row],[Purchase]])/Supermarket_Sales_Case_Study[[#This Row],[Sales_Amount]]</f>
        <v>0.2999999999999986</v>
      </c>
      <c r="P290">
        <f>Supermarket_Sales_Case_Study[[#This Row],[Quantity]]*Supermarket_Sales_Case_Study[[#This Row],[Sales_Amount]]</f>
        <v>1062.6136077312781</v>
      </c>
    </row>
    <row r="291" spans="1:16" x14ac:dyDescent="0.3">
      <c r="A291" t="s">
        <v>321</v>
      </c>
      <c r="B291" t="s">
        <v>14</v>
      </c>
      <c r="C291" t="s">
        <v>36</v>
      </c>
      <c r="D291">
        <v>1687</v>
      </c>
      <c r="E291" t="s">
        <v>26</v>
      </c>
      <c r="F291" t="s">
        <v>17</v>
      </c>
      <c r="G291" t="s">
        <v>37</v>
      </c>
      <c r="H291" s="1">
        <v>45352</v>
      </c>
      <c r="I291">
        <v>222.081790713955</v>
      </c>
      <c r="J291">
        <v>9</v>
      </c>
      <c r="K291">
        <v>1998.7361164255999</v>
      </c>
      <c r="L291">
        <v>599.62083492767999</v>
      </c>
      <c r="M291" t="s">
        <v>34</v>
      </c>
      <c r="N291">
        <f>Supermarket_Sales_Case_Study[[#This Row],[Sales_Amount]]-Supermarket_Sales_Case_Study[[#This Row],[Profit]]</f>
        <v>1399.11528149792</v>
      </c>
      <c r="O291" s="2">
        <f>(Supermarket_Sales_Case_Study[[#This Row],[Sales_Amount]]-Supermarket_Sales_Case_Study[[#This Row],[Purchase]])/Supermarket_Sales_Case_Study[[#This Row],[Sales_Amount]]</f>
        <v>0.29999999999999993</v>
      </c>
      <c r="P291">
        <f>Supermarket_Sales_Case_Study[[#This Row],[Quantity]]*Supermarket_Sales_Case_Study[[#This Row],[Sales_Amount]]</f>
        <v>17988.625047830399</v>
      </c>
    </row>
    <row r="292" spans="1:16" x14ac:dyDescent="0.3">
      <c r="A292" t="s">
        <v>322</v>
      </c>
      <c r="B292" t="s">
        <v>39</v>
      </c>
      <c r="C292" t="s">
        <v>15</v>
      </c>
      <c r="D292">
        <v>1395</v>
      </c>
      <c r="E292" t="s">
        <v>26</v>
      </c>
      <c r="F292" t="s">
        <v>17</v>
      </c>
      <c r="G292" t="s">
        <v>33</v>
      </c>
      <c r="H292" s="1">
        <v>45335</v>
      </c>
      <c r="I292">
        <v>212.20987152561801</v>
      </c>
      <c r="J292">
        <v>9</v>
      </c>
      <c r="K292">
        <v>1909.88884373056</v>
      </c>
      <c r="L292">
        <v>572.966653119169</v>
      </c>
      <c r="M292" t="s">
        <v>24</v>
      </c>
      <c r="N292">
        <f>Supermarket_Sales_Case_Study[[#This Row],[Sales_Amount]]-Supermarket_Sales_Case_Study[[#This Row],[Profit]]</f>
        <v>1336.922190611391</v>
      </c>
      <c r="O292" s="2">
        <f>(Supermarket_Sales_Case_Study[[#This Row],[Sales_Amount]]-Supermarket_Sales_Case_Study[[#This Row],[Purchase]])/Supermarket_Sales_Case_Study[[#This Row],[Sales_Amount]]</f>
        <v>0.30000000000000054</v>
      </c>
      <c r="P292">
        <f>Supermarket_Sales_Case_Study[[#This Row],[Quantity]]*Supermarket_Sales_Case_Study[[#This Row],[Sales_Amount]]</f>
        <v>17188.999593575041</v>
      </c>
    </row>
    <row r="293" spans="1:16" x14ac:dyDescent="0.3">
      <c r="A293" t="s">
        <v>323</v>
      </c>
      <c r="B293" t="s">
        <v>21</v>
      </c>
      <c r="C293" t="s">
        <v>15</v>
      </c>
      <c r="D293">
        <v>2126</v>
      </c>
      <c r="E293" t="s">
        <v>26</v>
      </c>
      <c r="F293" t="s">
        <v>17</v>
      </c>
      <c r="G293" t="s">
        <v>33</v>
      </c>
      <c r="H293" s="1">
        <v>45377</v>
      </c>
      <c r="I293">
        <v>228.26510528083199</v>
      </c>
      <c r="J293">
        <v>6</v>
      </c>
      <c r="K293">
        <v>1369.5906316849901</v>
      </c>
      <c r="L293">
        <v>410.877189505498</v>
      </c>
      <c r="M293" t="s">
        <v>19</v>
      </c>
      <c r="N293">
        <f>Supermarket_Sales_Case_Study[[#This Row],[Sales_Amount]]-Supermarket_Sales_Case_Study[[#This Row],[Profit]]</f>
        <v>958.71344217949206</v>
      </c>
      <c r="O293" s="2">
        <f>(Supermarket_Sales_Case_Study[[#This Row],[Sales_Amount]]-Supermarket_Sales_Case_Study[[#This Row],[Purchase]])/Supermarket_Sales_Case_Study[[#This Row],[Sales_Amount]]</f>
        <v>0.30000000000000071</v>
      </c>
      <c r="P293">
        <f>Supermarket_Sales_Case_Study[[#This Row],[Quantity]]*Supermarket_Sales_Case_Study[[#This Row],[Sales_Amount]]</f>
        <v>8217.5437901099394</v>
      </c>
    </row>
    <row r="294" spans="1:16" x14ac:dyDescent="0.3">
      <c r="A294" t="s">
        <v>324</v>
      </c>
      <c r="B294" t="s">
        <v>14</v>
      </c>
      <c r="C294" t="s">
        <v>36</v>
      </c>
      <c r="D294">
        <v>1401</v>
      </c>
      <c r="E294" t="s">
        <v>26</v>
      </c>
      <c r="F294" t="s">
        <v>22</v>
      </c>
      <c r="G294" t="s">
        <v>28</v>
      </c>
      <c r="H294" s="1">
        <v>45335</v>
      </c>
      <c r="I294">
        <v>144.86602200718599</v>
      </c>
      <c r="J294">
        <v>3</v>
      </c>
      <c r="K294">
        <v>434.59806602155999</v>
      </c>
      <c r="L294">
        <v>130.37941980646801</v>
      </c>
      <c r="M294" t="s">
        <v>34</v>
      </c>
      <c r="N294">
        <f>Supermarket_Sales_Case_Study[[#This Row],[Sales_Amount]]-Supermarket_Sales_Case_Study[[#This Row],[Profit]]</f>
        <v>304.21864621509201</v>
      </c>
      <c r="O294" s="2">
        <f>(Supermarket_Sales_Case_Study[[#This Row],[Sales_Amount]]-Supermarket_Sales_Case_Study[[#This Row],[Purchase]])/Supermarket_Sales_Case_Study[[#This Row],[Sales_Amount]]</f>
        <v>0.29999999999999993</v>
      </c>
      <c r="P294">
        <f>Supermarket_Sales_Case_Study[[#This Row],[Quantity]]*Supermarket_Sales_Case_Study[[#This Row],[Sales_Amount]]</f>
        <v>1303.7941980646799</v>
      </c>
    </row>
    <row r="295" spans="1:16" x14ac:dyDescent="0.3">
      <c r="A295" t="s">
        <v>325</v>
      </c>
      <c r="B295" t="s">
        <v>21</v>
      </c>
      <c r="C295" t="s">
        <v>36</v>
      </c>
      <c r="D295">
        <v>1974</v>
      </c>
      <c r="E295" t="s">
        <v>26</v>
      </c>
      <c r="F295" t="s">
        <v>22</v>
      </c>
      <c r="G295" t="s">
        <v>28</v>
      </c>
      <c r="H295" s="1">
        <v>45365</v>
      </c>
      <c r="I295">
        <v>263.50949782553698</v>
      </c>
      <c r="J295">
        <v>1</v>
      </c>
      <c r="K295">
        <v>263.50949782553698</v>
      </c>
      <c r="L295">
        <v>79.052849347661194</v>
      </c>
      <c r="M295" t="s">
        <v>19</v>
      </c>
      <c r="N295">
        <f>Supermarket_Sales_Case_Study[[#This Row],[Sales_Amount]]-Supermarket_Sales_Case_Study[[#This Row],[Profit]]</f>
        <v>184.45664847787577</v>
      </c>
      <c r="O295" s="2">
        <f>(Supermarket_Sales_Case_Study[[#This Row],[Sales_Amount]]-Supermarket_Sales_Case_Study[[#This Row],[Purchase]])/Supermarket_Sales_Case_Study[[#This Row],[Sales_Amount]]</f>
        <v>0.30000000000000043</v>
      </c>
      <c r="P295">
        <f>Supermarket_Sales_Case_Study[[#This Row],[Quantity]]*Supermarket_Sales_Case_Study[[#This Row],[Sales_Amount]]</f>
        <v>263.50949782553698</v>
      </c>
    </row>
    <row r="296" spans="1:16" x14ac:dyDescent="0.3">
      <c r="A296" t="s">
        <v>326</v>
      </c>
      <c r="B296" t="s">
        <v>21</v>
      </c>
      <c r="C296" t="s">
        <v>36</v>
      </c>
      <c r="D296">
        <v>1223</v>
      </c>
      <c r="E296" t="s">
        <v>26</v>
      </c>
      <c r="F296" t="s">
        <v>22</v>
      </c>
      <c r="G296" t="s">
        <v>37</v>
      </c>
      <c r="H296" s="1">
        <v>45353</v>
      </c>
      <c r="I296">
        <v>68.9965777894664</v>
      </c>
      <c r="J296">
        <v>4</v>
      </c>
      <c r="K296">
        <v>275.98631115786498</v>
      </c>
      <c r="L296">
        <v>82.795893347359694</v>
      </c>
      <c r="M296" t="s">
        <v>19</v>
      </c>
      <c r="N296">
        <f>Supermarket_Sales_Case_Study[[#This Row],[Sales_Amount]]-Supermarket_Sales_Case_Study[[#This Row],[Profit]]</f>
        <v>193.19041781050527</v>
      </c>
      <c r="O296" s="2">
        <f>(Supermarket_Sales_Case_Study[[#This Row],[Sales_Amount]]-Supermarket_Sales_Case_Study[[#This Row],[Purchase]])/Supermarket_Sales_Case_Study[[#This Row],[Sales_Amount]]</f>
        <v>0.30000000000000077</v>
      </c>
      <c r="P296">
        <f>Supermarket_Sales_Case_Study[[#This Row],[Quantity]]*Supermarket_Sales_Case_Study[[#This Row],[Sales_Amount]]</f>
        <v>1103.9452446314599</v>
      </c>
    </row>
    <row r="297" spans="1:16" x14ac:dyDescent="0.3">
      <c r="A297" t="s">
        <v>327</v>
      </c>
      <c r="B297" t="s">
        <v>39</v>
      </c>
      <c r="C297" t="s">
        <v>30</v>
      </c>
      <c r="D297">
        <v>1517</v>
      </c>
      <c r="E297" t="s">
        <v>16</v>
      </c>
      <c r="F297" t="s">
        <v>17</v>
      </c>
      <c r="G297" t="s">
        <v>28</v>
      </c>
      <c r="H297" s="1">
        <v>45297</v>
      </c>
      <c r="I297">
        <v>46.942060640098298</v>
      </c>
      <c r="J297">
        <v>3</v>
      </c>
      <c r="K297">
        <v>140.826181920295</v>
      </c>
      <c r="L297">
        <v>42.2478545760885</v>
      </c>
      <c r="M297" t="s">
        <v>24</v>
      </c>
      <c r="N297">
        <f>Supermarket_Sales_Case_Study[[#This Row],[Sales_Amount]]-Supermarket_Sales_Case_Study[[#This Row],[Profit]]</f>
        <v>98.5783273442065</v>
      </c>
      <c r="O297" s="2">
        <f>(Supermarket_Sales_Case_Study[[#This Row],[Sales_Amount]]-Supermarket_Sales_Case_Study[[#This Row],[Purchase]])/Supermarket_Sales_Case_Study[[#This Row],[Sales_Amount]]</f>
        <v>0.3</v>
      </c>
      <c r="P297">
        <f>Supermarket_Sales_Case_Study[[#This Row],[Quantity]]*Supermarket_Sales_Case_Study[[#This Row],[Sales_Amount]]</f>
        <v>422.47854576088503</v>
      </c>
    </row>
    <row r="298" spans="1:16" x14ac:dyDescent="0.3">
      <c r="A298" t="s">
        <v>328</v>
      </c>
      <c r="B298" t="s">
        <v>39</v>
      </c>
      <c r="C298" t="s">
        <v>36</v>
      </c>
      <c r="D298">
        <v>1633</v>
      </c>
      <c r="E298" t="s">
        <v>16</v>
      </c>
      <c r="F298" t="s">
        <v>22</v>
      </c>
      <c r="G298" t="s">
        <v>18</v>
      </c>
      <c r="H298" s="1">
        <v>45308</v>
      </c>
      <c r="I298">
        <v>92.797546234368298</v>
      </c>
      <c r="J298">
        <v>1</v>
      </c>
      <c r="K298">
        <v>92.797546234368298</v>
      </c>
      <c r="L298">
        <v>27.8392638703105</v>
      </c>
      <c r="M298" t="s">
        <v>24</v>
      </c>
      <c r="N298">
        <f>Supermarket_Sales_Case_Study[[#This Row],[Sales_Amount]]-Supermarket_Sales_Case_Study[[#This Row],[Profit]]</f>
        <v>64.958282364057794</v>
      </c>
      <c r="O298" s="2">
        <f>(Supermarket_Sales_Case_Study[[#This Row],[Sales_Amount]]-Supermarket_Sales_Case_Study[[#This Row],[Purchase]])/Supermarket_Sales_Case_Study[[#This Row],[Sales_Amount]]</f>
        <v>0.30000000000000016</v>
      </c>
      <c r="P298">
        <f>Supermarket_Sales_Case_Study[[#This Row],[Quantity]]*Supermarket_Sales_Case_Study[[#This Row],[Sales_Amount]]</f>
        <v>92.797546234368298</v>
      </c>
    </row>
    <row r="299" spans="1:16" x14ac:dyDescent="0.3">
      <c r="A299" t="s">
        <v>329</v>
      </c>
      <c r="B299" t="s">
        <v>39</v>
      </c>
      <c r="C299" t="s">
        <v>36</v>
      </c>
      <c r="D299">
        <v>1235</v>
      </c>
      <c r="E299" t="s">
        <v>26</v>
      </c>
      <c r="F299" t="s">
        <v>17</v>
      </c>
      <c r="G299" t="s">
        <v>37</v>
      </c>
      <c r="H299" s="1">
        <v>45342</v>
      </c>
      <c r="I299">
        <v>164.157445064748</v>
      </c>
      <c r="J299">
        <v>3</v>
      </c>
      <c r="K299">
        <v>492.47233519424401</v>
      </c>
      <c r="L299">
        <v>147.74170055827301</v>
      </c>
      <c r="M299" t="s">
        <v>34</v>
      </c>
      <c r="N299">
        <f>Supermarket_Sales_Case_Study[[#This Row],[Sales_Amount]]-Supermarket_Sales_Case_Study[[#This Row],[Profit]]</f>
        <v>344.730634635971</v>
      </c>
      <c r="O299" s="2">
        <f>(Supermarket_Sales_Case_Study[[#This Row],[Sales_Amount]]-Supermarket_Sales_Case_Study[[#This Row],[Purchase]])/Supermarket_Sales_Case_Study[[#This Row],[Sales_Amount]]</f>
        <v>0.2999999999999996</v>
      </c>
      <c r="P299">
        <f>Supermarket_Sales_Case_Study[[#This Row],[Quantity]]*Supermarket_Sales_Case_Study[[#This Row],[Sales_Amount]]</f>
        <v>1477.4170055827321</v>
      </c>
    </row>
    <row r="300" spans="1:16" x14ac:dyDescent="0.3">
      <c r="A300" t="s">
        <v>330</v>
      </c>
      <c r="B300" t="s">
        <v>39</v>
      </c>
      <c r="C300" t="s">
        <v>36</v>
      </c>
      <c r="D300">
        <v>2450</v>
      </c>
      <c r="E300" t="s">
        <v>16</v>
      </c>
      <c r="F300" t="s">
        <v>17</v>
      </c>
      <c r="G300" t="s">
        <v>28</v>
      </c>
      <c r="H300" s="1">
        <v>45329</v>
      </c>
      <c r="I300">
        <v>158.06292066870799</v>
      </c>
      <c r="J300">
        <v>4</v>
      </c>
      <c r="K300">
        <v>632.25168267483195</v>
      </c>
      <c r="L300">
        <v>189.67550480244901</v>
      </c>
      <c r="M300" t="s">
        <v>34</v>
      </c>
      <c r="N300">
        <f>Supermarket_Sales_Case_Study[[#This Row],[Sales_Amount]]-Supermarket_Sales_Case_Study[[#This Row],[Profit]]</f>
        <v>442.57617787238291</v>
      </c>
      <c r="O300" s="2">
        <f>(Supermarket_Sales_Case_Study[[#This Row],[Sales_Amount]]-Supermarket_Sales_Case_Study[[#This Row],[Purchase]])/Supermarket_Sales_Case_Study[[#This Row],[Sales_Amount]]</f>
        <v>0.29999999999999916</v>
      </c>
      <c r="P300">
        <f>Supermarket_Sales_Case_Study[[#This Row],[Quantity]]*Supermarket_Sales_Case_Study[[#This Row],[Sales_Amount]]</f>
        <v>2529.0067306993278</v>
      </c>
    </row>
    <row r="301" spans="1:16" x14ac:dyDescent="0.3">
      <c r="A301" t="s">
        <v>331</v>
      </c>
      <c r="B301" t="s">
        <v>39</v>
      </c>
      <c r="C301" t="s">
        <v>15</v>
      </c>
      <c r="D301">
        <v>1115</v>
      </c>
      <c r="E301" t="s">
        <v>16</v>
      </c>
      <c r="F301" t="s">
        <v>17</v>
      </c>
      <c r="G301" t="s">
        <v>37</v>
      </c>
      <c r="H301" s="1">
        <v>45315</v>
      </c>
      <c r="I301">
        <v>247.97363972621</v>
      </c>
      <c r="J301">
        <v>8</v>
      </c>
      <c r="K301">
        <v>1983.78911780968</v>
      </c>
      <c r="L301">
        <v>595.13673534290399</v>
      </c>
      <c r="M301" t="s">
        <v>34</v>
      </c>
      <c r="N301">
        <f>Supermarket_Sales_Case_Study[[#This Row],[Sales_Amount]]-Supermarket_Sales_Case_Study[[#This Row],[Profit]]</f>
        <v>1388.6523824667761</v>
      </c>
      <c r="O301" s="2">
        <f>(Supermarket_Sales_Case_Study[[#This Row],[Sales_Amount]]-Supermarket_Sales_Case_Study[[#This Row],[Purchase]])/Supermarket_Sales_Case_Study[[#This Row],[Sales_Amount]]</f>
        <v>0.29999999999999993</v>
      </c>
      <c r="P301">
        <f>Supermarket_Sales_Case_Study[[#This Row],[Quantity]]*Supermarket_Sales_Case_Study[[#This Row],[Sales_Amount]]</f>
        <v>15870.31294247744</v>
      </c>
    </row>
    <row r="302" spans="1:16" x14ac:dyDescent="0.3">
      <c r="A302" t="s">
        <v>332</v>
      </c>
      <c r="B302" t="s">
        <v>14</v>
      </c>
      <c r="C302" t="s">
        <v>15</v>
      </c>
      <c r="D302">
        <v>2186</v>
      </c>
      <c r="E302" t="s">
        <v>16</v>
      </c>
      <c r="F302" t="s">
        <v>17</v>
      </c>
      <c r="G302" t="s">
        <v>33</v>
      </c>
      <c r="H302" s="1">
        <v>45342</v>
      </c>
      <c r="I302">
        <v>127.324910357165</v>
      </c>
      <c r="J302">
        <v>9</v>
      </c>
      <c r="K302">
        <v>1145.9241932144801</v>
      </c>
      <c r="L302">
        <v>343.77725796434498</v>
      </c>
      <c r="M302" t="s">
        <v>19</v>
      </c>
      <c r="N302">
        <f>Supermarket_Sales_Case_Study[[#This Row],[Sales_Amount]]-Supermarket_Sales_Case_Study[[#This Row],[Profit]]</f>
        <v>802.14693525013513</v>
      </c>
      <c r="O302" s="2">
        <f>(Supermarket_Sales_Case_Study[[#This Row],[Sales_Amount]]-Supermarket_Sales_Case_Study[[#This Row],[Purchase]])/Supermarket_Sales_Case_Study[[#This Row],[Sales_Amount]]</f>
        <v>0.30000000000000077</v>
      </c>
      <c r="P302">
        <f>Supermarket_Sales_Case_Study[[#This Row],[Quantity]]*Supermarket_Sales_Case_Study[[#This Row],[Sales_Amount]]</f>
        <v>10313.31773893032</v>
      </c>
    </row>
    <row r="303" spans="1:16" x14ac:dyDescent="0.3">
      <c r="A303" t="s">
        <v>333</v>
      </c>
      <c r="B303" t="s">
        <v>21</v>
      </c>
      <c r="C303" t="s">
        <v>30</v>
      </c>
      <c r="D303">
        <v>1225</v>
      </c>
      <c r="E303" t="s">
        <v>16</v>
      </c>
      <c r="F303" t="s">
        <v>17</v>
      </c>
      <c r="G303" t="s">
        <v>33</v>
      </c>
      <c r="H303" s="1">
        <v>45301</v>
      </c>
      <c r="I303">
        <v>150.45988362453701</v>
      </c>
      <c r="J303">
        <v>3</v>
      </c>
      <c r="K303">
        <v>451.37965087361198</v>
      </c>
      <c r="L303">
        <v>135.413895262083</v>
      </c>
      <c r="M303" t="s">
        <v>24</v>
      </c>
      <c r="N303">
        <f>Supermarket_Sales_Case_Study[[#This Row],[Sales_Amount]]-Supermarket_Sales_Case_Study[[#This Row],[Profit]]</f>
        <v>315.96575561152895</v>
      </c>
      <c r="O303" s="2">
        <f>(Supermarket_Sales_Case_Study[[#This Row],[Sales_Amount]]-Supermarket_Sales_Case_Study[[#This Row],[Purchase]])/Supermarket_Sales_Case_Study[[#This Row],[Sales_Amount]]</f>
        <v>0.29999999999999877</v>
      </c>
      <c r="P303">
        <f>Supermarket_Sales_Case_Study[[#This Row],[Quantity]]*Supermarket_Sales_Case_Study[[#This Row],[Sales_Amount]]</f>
        <v>1354.1389526208359</v>
      </c>
    </row>
    <row r="304" spans="1:16" x14ac:dyDescent="0.3">
      <c r="A304" t="s">
        <v>334</v>
      </c>
      <c r="B304" t="s">
        <v>21</v>
      </c>
      <c r="C304" t="s">
        <v>30</v>
      </c>
      <c r="D304">
        <v>1229</v>
      </c>
      <c r="E304" t="s">
        <v>26</v>
      </c>
      <c r="F304" t="s">
        <v>17</v>
      </c>
      <c r="G304" t="s">
        <v>37</v>
      </c>
      <c r="H304" s="1">
        <v>45363</v>
      </c>
      <c r="I304">
        <v>13.8766281452247</v>
      </c>
      <c r="J304">
        <v>6</v>
      </c>
      <c r="K304">
        <v>83.259768871348399</v>
      </c>
      <c r="L304">
        <v>24.9779306614045</v>
      </c>
      <c r="M304" t="s">
        <v>24</v>
      </c>
      <c r="N304">
        <f>Supermarket_Sales_Case_Study[[#This Row],[Sales_Amount]]-Supermarket_Sales_Case_Study[[#This Row],[Profit]]</f>
        <v>58.281838209943899</v>
      </c>
      <c r="O304" s="2">
        <f>(Supermarket_Sales_Case_Study[[#This Row],[Sales_Amount]]-Supermarket_Sales_Case_Study[[#This Row],[Purchase]])/Supermarket_Sales_Case_Study[[#This Row],[Sales_Amount]]</f>
        <v>0.29999999999999977</v>
      </c>
      <c r="P304">
        <f>Supermarket_Sales_Case_Study[[#This Row],[Quantity]]*Supermarket_Sales_Case_Study[[#This Row],[Sales_Amount]]</f>
        <v>499.55861322809039</v>
      </c>
    </row>
    <row r="305" spans="1:16" x14ac:dyDescent="0.3">
      <c r="A305" t="s">
        <v>335</v>
      </c>
      <c r="B305" t="s">
        <v>21</v>
      </c>
      <c r="C305" t="s">
        <v>15</v>
      </c>
      <c r="D305">
        <v>1181</v>
      </c>
      <c r="E305" t="s">
        <v>16</v>
      </c>
      <c r="F305" t="s">
        <v>22</v>
      </c>
      <c r="G305" t="s">
        <v>18</v>
      </c>
      <c r="H305" s="1">
        <v>45312</v>
      </c>
      <c r="I305">
        <v>128.824378568452</v>
      </c>
      <c r="J305">
        <v>5</v>
      </c>
      <c r="K305">
        <v>644.12189284226099</v>
      </c>
      <c r="L305">
        <v>193.23656785267801</v>
      </c>
      <c r="M305" t="s">
        <v>24</v>
      </c>
      <c r="N305">
        <f>Supermarket_Sales_Case_Study[[#This Row],[Sales_Amount]]-Supermarket_Sales_Case_Study[[#This Row],[Profit]]</f>
        <v>450.88532498958295</v>
      </c>
      <c r="O305" s="2">
        <f>(Supermarket_Sales_Case_Study[[#This Row],[Sales_Amount]]-Supermarket_Sales_Case_Study[[#This Row],[Purchase]])/Supermarket_Sales_Case_Study[[#This Row],[Sales_Amount]]</f>
        <v>0.2999999999999996</v>
      </c>
      <c r="P305">
        <f>Supermarket_Sales_Case_Study[[#This Row],[Quantity]]*Supermarket_Sales_Case_Study[[#This Row],[Sales_Amount]]</f>
        <v>3220.6094642113048</v>
      </c>
    </row>
    <row r="306" spans="1:16" x14ac:dyDescent="0.3">
      <c r="A306" t="s">
        <v>336</v>
      </c>
      <c r="B306" t="s">
        <v>21</v>
      </c>
      <c r="C306" t="s">
        <v>15</v>
      </c>
      <c r="D306">
        <v>2272</v>
      </c>
      <c r="E306" t="s">
        <v>16</v>
      </c>
      <c r="F306" t="s">
        <v>17</v>
      </c>
      <c r="G306" t="s">
        <v>18</v>
      </c>
      <c r="H306" s="1">
        <v>45361</v>
      </c>
      <c r="I306">
        <v>197.85452755559899</v>
      </c>
      <c r="J306">
        <v>6</v>
      </c>
      <c r="K306">
        <v>1187.12716533359</v>
      </c>
      <c r="L306">
        <v>356.13814960007801</v>
      </c>
      <c r="M306" t="s">
        <v>34</v>
      </c>
      <c r="N306">
        <f>Supermarket_Sales_Case_Study[[#This Row],[Sales_Amount]]-Supermarket_Sales_Case_Study[[#This Row],[Profit]]</f>
        <v>830.98901573351202</v>
      </c>
      <c r="O306" s="2">
        <f>(Supermarket_Sales_Case_Study[[#This Row],[Sales_Amount]]-Supermarket_Sales_Case_Study[[#This Row],[Purchase]])/Supermarket_Sales_Case_Study[[#This Row],[Sales_Amount]]</f>
        <v>0.30000000000000082</v>
      </c>
      <c r="P306">
        <f>Supermarket_Sales_Case_Study[[#This Row],[Quantity]]*Supermarket_Sales_Case_Study[[#This Row],[Sales_Amount]]</f>
        <v>7122.7629920015406</v>
      </c>
    </row>
    <row r="307" spans="1:16" x14ac:dyDescent="0.3">
      <c r="A307" t="s">
        <v>337</v>
      </c>
      <c r="B307" t="s">
        <v>39</v>
      </c>
      <c r="C307" t="s">
        <v>15</v>
      </c>
      <c r="D307">
        <v>2341</v>
      </c>
      <c r="E307" t="s">
        <v>16</v>
      </c>
      <c r="F307" t="s">
        <v>22</v>
      </c>
      <c r="G307" t="s">
        <v>37</v>
      </c>
      <c r="H307" s="1">
        <v>45376</v>
      </c>
      <c r="I307">
        <v>14.497415881711699</v>
      </c>
      <c r="J307">
        <v>4</v>
      </c>
      <c r="K307">
        <v>57.989663526846897</v>
      </c>
      <c r="L307">
        <v>17.396899058054</v>
      </c>
      <c r="M307" t="s">
        <v>24</v>
      </c>
      <c r="N307">
        <f>Supermarket_Sales_Case_Study[[#This Row],[Sales_Amount]]-Supermarket_Sales_Case_Study[[#This Row],[Profit]]</f>
        <v>40.592764468792893</v>
      </c>
      <c r="O307" s="2">
        <f>(Supermarket_Sales_Case_Study[[#This Row],[Sales_Amount]]-Supermarket_Sales_Case_Study[[#This Row],[Purchase]])/Supermarket_Sales_Case_Study[[#This Row],[Sales_Amount]]</f>
        <v>0.29999999999999888</v>
      </c>
      <c r="P307">
        <f>Supermarket_Sales_Case_Study[[#This Row],[Quantity]]*Supermarket_Sales_Case_Study[[#This Row],[Sales_Amount]]</f>
        <v>231.95865410738759</v>
      </c>
    </row>
    <row r="308" spans="1:16" x14ac:dyDescent="0.3">
      <c r="A308" t="s">
        <v>338</v>
      </c>
      <c r="B308" t="s">
        <v>21</v>
      </c>
      <c r="C308" t="s">
        <v>36</v>
      </c>
      <c r="D308">
        <v>1209</v>
      </c>
      <c r="E308" t="s">
        <v>26</v>
      </c>
      <c r="F308" t="s">
        <v>22</v>
      </c>
      <c r="G308" t="s">
        <v>28</v>
      </c>
      <c r="H308" s="1">
        <v>45348</v>
      </c>
      <c r="I308">
        <v>91.455769904010694</v>
      </c>
      <c r="J308">
        <v>6</v>
      </c>
      <c r="K308">
        <v>548.73461942406402</v>
      </c>
      <c r="L308">
        <v>164.620385827219</v>
      </c>
      <c r="M308" t="s">
        <v>24</v>
      </c>
      <c r="N308">
        <f>Supermarket_Sales_Case_Study[[#This Row],[Sales_Amount]]-Supermarket_Sales_Case_Study[[#This Row],[Profit]]</f>
        <v>384.114233596845</v>
      </c>
      <c r="O308" s="2">
        <f>(Supermarket_Sales_Case_Study[[#This Row],[Sales_Amount]]-Supermarket_Sales_Case_Study[[#This Row],[Purchase]])/Supermarket_Sales_Case_Study[[#This Row],[Sales_Amount]]</f>
        <v>0.29999999999999966</v>
      </c>
      <c r="P308">
        <f>Supermarket_Sales_Case_Study[[#This Row],[Quantity]]*Supermarket_Sales_Case_Study[[#This Row],[Sales_Amount]]</f>
        <v>3292.4077165443841</v>
      </c>
    </row>
    <row r="309" spans="1:16" x14ac:dyDescent="0.3">
      <c r="A309" t="s">
        <v>339</v>
      </c>
      <c r="B309" t="s">
        <v>14</v>
      </c>
      <c r="C309" t="s">
        <v>36</v>
      </c>
      <c r="D309">
        <v>2415</v>
      </c>
      <c r="E309" t="s">
        <v>26</v>
      </c>
      <c r="F309" t="s">
        <v>17</v>
      </c>
      <c r="G309" t="s">
        <v>23</v>
      </c>
      <c r="H309" s="1">
        <v>45330</v>
      </c>
      <c r="I309">
        <v>70.307344193923001</v>
      </c>
      <c r="J309">
        <v>7</v>
      </c>
      <c r="K309">
        <v>492.15140935746098</v>
      </c>
      <c r="L309">
        <v>147.64542280723799</v>
      </c>
      <c r="M309" t="s">
        <v>24</v>
      </c>
      <c r="N309">
        <f>Supermarket_Sales_Case_Study[[#This Row],[Sales_Amount]]-Supermarket_Sales_Case_Study[[#This Row],[Profit]]</f>
        <v>344.50598655022299</v>
      </c>
      <c r="O309" s="2">
        <f>(Supermarket_Sales_Case_Study[[#This Row],[Sales_Amount]]-Supermarket_Sales_Case_Study[[#This Row],[Purchase]])/Supermarket_Sales_Case_Study[[#This Row],[Sales_Amount]]</f>
        <v>0.29999999999999938</v>
      </c>
      <c r="P309">
        <f>Supermarket_Sales_Case_Study[[#This Row],[Quantity]]*Supermarket_Sales_Case_Study[[#This Row],[Sales_Amount]]</f>
        <v>3445.0598655022268</v>
      </c>
    </row>
    <row r="310" spans="1:16" x14ac:dyDescent="0.3">
      <c r="A310" t="s">
        <v>340</v>
      </c>
      <c r="B310" t="s">
        <v>14</v>
      </c>
      <c r="C310" t="s">
        <v>15</v>
      </c>
      <c r="D310">
        <v>1095</v>
      </c>
      <c r="E310" t="s">
        <v>26</v>
      </c>
      <c r="F310" t="s">
        <v>17</v>
      </c>
      <c r="G310" t="s">
        <v>18</v>
      </c>
      <c r="H310" s="1">
        <v>45379</v>
      </c>
      <c r="I310">
        <v>22.175774383780499</v>
      </c>
      <c r="J310">
        <v>9</v>
      </c>
      <c r="K310">
        <v>199.581969454025</v>
      </c>
      <c r="L310">
        <v>59.874590836207503</v>
      </c>
      <c r="M310" t="s">
        <v>34</v>
      </c>
      <c r="N310">
        <f>Supermarket_Sales_Case_Study[[#This Row],[Sales_Amount]]-Supermarket_Sales_Case_Study[[#This Row],[Profit]]</f>
        <v>139.70737861781748</v>
      </c>
      <c r="O310" s="2">
        <f>(Supermarket_Sales_Case_Study[[#This Row],[Sales_Amount]]-Supermarket_Sales_Case_Study[[#This Row],[Purchase]])/Supermarket_Sales_Case_Study[[#This Row],[Sales_Amount]]</f>
        <v>0.3000000000000001</v>
      </c>
      <c r="P310">
        <f>Supermarket_Sales_Case_Study[[#This Row],[Quantity]]*Supermarket_Sales_Case_Study[[#This Row],[Sales_Amount]]</f>
        <v>1796.2377250862251</v>
      </c>
    </row>
    <row r="311" spans="1:16" x14ac:dyDescent="0.3">
      <c r="A311" t="s">
        <v>341</v>
      </c>
      <c r="B311" t="s">
        <v>21</v>
      </c>
      <c r="C311" t="s">
        <v>36</v>
      </c>
      <c r="D311">
        <v>1893</v>
      </c>
      <c r="E311" t="s">
        <v>26</v>
      </c>
      <c r="F311" t="s">
        <v>17</v>
      </c>
      <c r="G311" t="s">
        <v>31</v>
      </c>
      <c r="H311" s="1">
        <v>45324</v>
      </c>
      <c r="I311">
        <v>148.985426075215</v>
      </c>
      <c r="J311">
        <v>7</v>
      </c>
      <c r="K311">
        <v>1042.8979825265101</v>
      </c>
      <c r="L311">
        <v>312.86939475795299</v>
      </c>
      <c r="M311" t="s">
        <v>24</v>
      </c>
      <c r="N311">
        <f>Supermarket_Sales_Case_Study[[#This Row],[Sales_Amount]]-Supermarket_Sales_Case_Study[[#This Row],[Profit]]</f>
        <v>730.02858776855714</v>
      </c>
      <c r="O311" s="2">
        <f>(Supermarket_Sales_Case_Study[[#This Row],[Sales_Amount]]-Supermarket_Sales_Case_Study[[#This Row],[Purchase]])/Supermarket_Sales_Case_Study[[#This Row],[Sales_Amount]]</f>
        <v>0.29999999999999993</v>
      </c>
      <c r="P311">
        <f>Supermarket_Sales_Case_Study[[#This Row],[Quantity]]*Supermarket_Sales_Case_Study[[#This Row],[Sales_Amount]]</f>
        <v>7300.2858776855701</v>
      </c>
    </row>
    <row r="312" spans="1:16" x14ac:dyDescent="0.3">
      <c r="A312" t="s">
        <v>342</v>
      </c>
      <c r="B312" t="s">
        <v>21</v>
      </c>
      <c r="C312" t="s">
        <v>36</v>
      </c>
      <c r="D312">
        <v>1755</v>
      </c>
      <c r="E312" t="s">
        <v>26</v>
      </c>
      <c r="F312" t="s">
        <v>22</v>
      </c>
      <c r="G312" t="s">
        <v>33</v>
      </c>
      <c r="H312" s="1">
        <v>45350</v>
      </c>
      <c r="I312">
        <v>62.6997550361653</v>
      </c>
      <c r="J312">
        <v>6</v>
      </c>
      <c r="K312">
        <v>376.19853021699203</v>
      </c>
      <c r="L312">
        <v>112.859559065097</v>
      </c>
      <c r="M312" t="s">
        <v>34</v>
      </c>
      <c r="N312">
        <f>Supermarket_Sales_Case_Study[[#This Row],[Sales_Amount]]-Supermarket_Sales_Case_Study[[#This Row],[Profit]]</f>
        <v>263.33897115189501</v>
      </c>
      <c r="O312" s="2">
        <f>(Supermarket_Sales_Case_Study[[#This Row],[Sales_Amount]]-Supermarket_Sales_Case_Study[[#This Row],[Purchase]])/Supermarket_Sales_Case_Study[[#This Row],[Sales_Amount]]</f>
        <v>0.29999999999999843</v>
      </c>
      <c r="P312">
        <f>Supermarket_Sales_Case_Study[[#This Row],[Quantity]]*Supermarket_Sales_Case_Study[[#This Row],[Sales_Amount]]</f>
        <v>2257.1911813019524</v>
      </c>
    </row>
    <row r="313" spans="1:16" x14ac:dyDescent="0.3">
      <c r="A313" t="s">
        <v>343</v>
      </c>
      <c r="B313" t="s">
        <v>14</v>
      </c>
      <c r="C313" t="s">
        <v>30</v>
      </c>
      <c r="D313">
        <v>2109</v>
      </c>
      <c r="E313" t="s">
        <v>26</v>
      </c>
      <c r="F313" t="s">
        <v>17</v>
      </c>
      <c r="G313" t="s">
        <v>37</v>
      </c>
      <c r="H313" s="1">
        <v>45309</v>
      </c>
      <c r="I313">
        <v>225.49364649309999</v>
      </c>
      <c r="J313">
        <v>1</v>
      </c>
      <c r="K313">
        <v>225.49364649309999</v>
      </c>
      <c r="L313">
        <v>67.648093947929993</v>
      </c>
      <c r="M313" t="s">
        <v>24</v>
      </c>
      <c r="N313">
        <f>Supermarket_Sales_Case_Study[[#This Row],[Sales_Amount]]-Supermarket_Sales_Case_Study[[#This Row],[Profit]]</f>
        <v>157.84555254516999</v>
      </c>
      <c r="O313" s="2">
        <f>(Supermarket_Sales_Case_Study[[#This Row],[Sales_Amount]]-Supermarket_Sales_Case_Study[[#This Row],[Purchase]])/Supermarket_Sales_Case_Study[[#This Row],[Sales_Amount]]</f>
        <v>0.3</v>
      </c>
      <c r="P313">
        <f>Supermarket_Sales_Case_Study[[#This Row],[Quantity]]*Supermarket_Sales_Case_Study[[#This Row],[Sales_Amount]]</f>
        <v>225.49364649309999</v>
      </c>
    </row>
    <row r="314" spans="1:16" x14ac:dyDescent="0.3">
      <c r="A314" t="s">
        <v>344</v>
      </c>
      <c r="B314" t="s">
        <v>14</v>
      </c>
      <c r="C314" t="s">
        <v>15</v>
      </c>
      <c r="D314">
        <v>1414</v>
      </c>
      <c r="E314" t="s">
        <v>26</v>
      </c>
      <c r="F314" t="s">
        <v>22</v>
      </c>
      <c r="G314" t="s">
        <v>31</v>
      </c>
      <c r="H314" s="1">
        <v>45347</v>
      </c>
      <c r="I314">
        <v>255.89908629137099</v>
      </c>
      <c r="J314">
        <v>2</v>
      </c>
      <c r="K314">
        <v>511.79817258274198</v>
      </c>
      <c r="L314">
        <v>153.539451774822</v>
      </c>
      <c r="M314" t="s">
        <v>24</v>
      </c>
      <c r="N314">
        <f>Supermarket_Sales_Case_Study[[#This Row],[Sales_Amount]]-Supermarket_Sales_Case_Study[[#This Row],[Profit]]</f>
        <v>358.25872080791999</v>
      </c>
      <c r="O314" s="2">
        <f>(Supermarket_Sales_Case_Study[[#This Row],[Sales_Amount]]-Supermarket_Sales_Case_Study[[#This Row],[Purchase]])/Supermarket_Sales_Case_Study[[#This Row],[Sales_Amount]]</f>
        <v>0.29999999999999882</v>
      </c>
      <c r="P314">
        <f>Supermarket_Sales_Case_Study[[#This Row],[Quantity]]*Supermarket_Sales_Case_Study[[#This Row],[Sales_Amount]]</f>
        <v>1023.596345165484</v>
      </c>
    </row>
    <row r="315" spans="1:16" x14ac:dyDescent="0.3">
      <c r="A315" t="s">
        <v>345</v>
      </c>
      <c r="B315" t="s">
        <v>39</v>
      </c>
      <c r="C315" t="s">
        <v>15</v>
      </c>
      <c r="D315">
        <v>1393</v>
      </c>
      <c r="E315" t="s">
        <v>16</v>
      </c>
      <c r="F315" t="s">
        <v>17</v>
      </c>
      <c r="G315" t="s">
        <v>37</v>
      </c>
      <c r="H315" s="1">
        <v>45348</v>
      </c>
      <c r="I315">
        <v>168.21970297405201</v>
      </c>
      <c r="J315">
        <v>1</v>
      </c>
      <c r="K315">
        <v>168.21970297405201</v>
      </c>
      <c r="L315">
        <v>50.465910892215803</v>
      </c>
      <c r="M315" t="s">
        <v>24</v>
      </c>
      <c r="N315">
        <f>Supermarket_Sales_Case_Study[[#This Row],[Sales_Amount]]-Supermarket_Sales_Case_Study[[#This Row],[Profit]]</f>
        <v>117.75379208183621</v>
      </c>
      <c r="O315" s="2">
        <f>(Supermarket_Sales_Case_Study[[#This Row],[Sales_Amount]]-Supermarket_Sales_Case_Study[[#This Row],[Purchase]])/Supermarket_Sales_Case_Study[[#This Row],[Sales_Amount]]</f>
        <v>0.30000000000000121</v>
      </c>
      <c r="P315">
        <f>Supermarket_Sales_Case_Study[[#This Row],[Quantity]]*Supermarket_Sales_Case_Study[[#This Row],[Sales_Amount]]</f>
        <v>168.21970297405201</v>
      </c>
    </row>
    <row r="316" spans="1:16" x14ac:dyDescent="0.3">
      <c r="A316" t="s">
        <v>346</v>
      </c>
      <c r="B316" t="s">
        <v>14</v>
      </c>
      <c r="C316" t="s">
        <v>36</v>
      </c>
      <c r="D316">
        <v>1695</v>
      </c>
      <c r="E316" t="s">
        <v>16</v>
      </c>
      <c r="F316" t="s">
        <v>17</v>
      </c>
      <c r="G316" t="s">
        <v>33</v>
      </c>
      <c r="H316" s="1">
        <v>45367</v>
      </c>
      <c r="I316">
        <v>294.695129331131</v>
      </c>
      <c r="J316">
        <v>9</v>
      </c>
      <c r="K316">
        <v>2652.2561639801702</v>
      </c>
      <c r="L316">
        <v>795.67684919405394</v>
      </c>
      <c r="M316" t="s">
        <v>34</v>
      </c>
      <c r="N316">
        <f>Supermarket_Sales_Case_Study[[#This Row],[Sales_Amount]]-Supermarket_Sales_Case_Study[[#This Row],[Profit]]</f>
        <v>1856.5793147861164</v>
      </c>
      <c r="O316" s="2">
        <f>(Supermarket_Sales_Case_Study[[#This Row],[Sales_Amount]]-Supermarket_Sales_Case_Study[[#This Row],[Purchase]])/Supermarket_Sales_Case_Study[[#This Row],[Sales_Amount]]</f>
        <v>0.30000000000000104</v>
      </c>
      <c r="P316">
        <f>Supermarket_Sales_Case_Study[[#This Row],[Quantity]]*Supermarket_Sales_Case_Study[[#This Row],[Sales_Amount]]</f>
        <v>23870.305475821533</v>
      </c>
    </row>
    <row r="317" spans="1:16" x14ac:dyDescent="0.3">
      <c r="A317" t="s">
        <v>347</v>
      </c>
      <c r="B317" t="s">
        <v>39</v>
      </c>
      <c r="C317" t="s">
        <v>15</v>
      </c>
      <c r="D317">
        <v>1843</v>
      </c>
      <c r="E317" t="s">
        <v>16</v>
      </c>
      <c r="F317" t="s">
        <v>22</v>
      </c>
      <c r="G317" t="s">
        <v>33</v>
      </c>
      <c r="H317" s="1">
        <v>45339</v>
      </c>
      <c r="I317">
        <v>140.63878572647201</v>
      </c>
      <c r="J317">
        <v>9</v>
      </c>
      <c r="K317">
        <v>1265.7490715382501</v>
      </c>
      <c r="L317">
        <v>379.72472146147601</v>
      </c>
      <c r="M317" t="s">
        <v>34</v>
      </c>
      <c r="N317">
        <f>Supermarket_Sales_Case_Study[[#This Row],[Sales_Amount]]-Supermarket_Sales_Case_Study[[#This Row],[Profit]]</f>
        <v>886.024350076774</v>
      </c>
      <c r="O317" s="2">
        <f>(Supermarket_Sales_Case_Study[[#This Row],[Sales_Amount]]-Supermarket_Sales_Case_Study[[#This Row],[Purchase]])/Supermarket_Sales_Case_Study[[#This Row],[Sales_Amount]]</f>
        <v>0.30000000000000082</v>
      </c>
      <c r="P317">
        <f>Supermarket_Sales_Case_Study[[#This Row],[Quantity]]*Supermarket_Sales_Case_Study[[#This Row],[Sales_Amount]]</f>
        <v>11391.741643844251</v>
      </c>
    </row>
    <row r="318" spans="1:16" x14ac:dyDescent="0.3">
      <c r="A318" t="s">
        <v>348</v>
      </c>
      <c r="B318" t="s">
        <v>39</v>
      </c>
      <c r="C318" t="s">
        <v>30</v>
      </c>
      <c r="D318">
        <v>1603</v>
      </c>
      <c r="E318" t="s">
        <v>26</v>
      </c>
      <c r="F318" t="s">
        <v>22</v>
      </c>
      <c r="G318" t="s">
        <v>18</v>
      </c>
      <c r="H318" s="1">
        <v>45333</v>
      </c>
      <c r="I318">
        <v>158.87678096522501</v>
      </c>
      <c r="J318">
        <v>7</v>
      </c>
      <c r="K318">
        <v>1112.1374667565699</v>
      </c>
      <c r="L318">
        <v>333.64124002697298</v>
      </c>
      <c r="M318" t="s">
        <v>24</v>
      </c>
      <c r="N318">
        <f>Supermarket_Sales_Case_Study[[#This Row],[Sales_Amount]]-Supermarket_Sales_Case_Study[[#This Row],[Profit]]</f>
        <v>778.49622672959686</v>
      </c>
      <c r="O318" s="2">
        <f>(Supermarket_Sales_Case_Study[[#This Row],[Sales_Amount]]-Supermarket_Sales_Case_Study[[#This Row],[Purchase]])/Supermarket_Sales_Case_Study[[#This Row],[Sales_Amount]]</f>
        <v>0.30000000000000188</v>
      </c>
      <c r="P318">
        <f>Supermarket_Sales_Case_Study[[#This Row],[Quantity]]*Supermarket_Sales_Case_Study[[#This Row],[Sales_Amount]]</f>
        <v>7784.9622672959895</v>
      </c>
    </row>
    <row r="319" spans="1:16" x14ac:dyDescent="0.3">
      <c r="A319" t="s">
        <v>349</v>
      </c>
      <c r="B319" t="s">
        <v>39</v>
      </c>
      <c r="C319" t="s">
        <v>30</v>
      </c>
      <c r="D319">
        <v>1581</v>
      </c>
      <c r="E319" t="s">
        <v>26</v>
      </c>
      <c r="F319" t="s">
        <v>17</v>
      </c>
      <c r="G319" t="s">
        <v>18</v>
      </c>
      <c r="H319" s="1">
        <v>45318</v>
      </c>
      <c r="I319">
        <v>296.87314864774697</v>
      </c>
      <c r="J319">
        <v>2</v>
      </c>
      <c r="K319">
        <v>593.74629729549497</v>
      </c>
      <c r="L319">
        <v>178.12388918864801</v>
      </c>
      <c r="M319" t="s">
        <v>19</v>
      </c>
      <c r="N319">
        <f>Supermarket_Sales_Case_Study[[#This Row],[Sales_Amount]]-Supermarket_Sales_Case_Study[[#This Row],[Profit]]</f>
        <v>415.62240810684693</v>
      </c>
      <c r="O319" s="2">
        <f>(Supermarket_Sales_Case_Study[[#This Row],[Sales_Amount]]-Supermarket_Sales_Case_Study[[#This Row],[Purchase]])/Supermarket_Sales_Case_Study[[#This Row],[Sales_Amount]]</f>
        <v>0.29999999999999921</v>
      </c>
      <c r="P319">
        <f>Supermarket_Sales_Case_Study[[#This Row],[Quantity]]*Supermarket_Sales_Case_Study[[#This Row],[Sales_Amount]]</f>
        <v>1187.4925945909899</v>
      </c>
    </row>
    <row r="320" spans="1:16" x14ac:dyDescent="0.3">
      <c r="A320" t="s">
        <v>350</v>
      </c>
      <c r="B320" t="s">
        <v>39</v>
      </c>
      <c r="C320" t="s">
        <v>30</v>
      </c>
      <c r="D320">
        <v>1132</v>
      </c>
      <c r="E320" t="s">
        <v>26</v>
      </c>
      <c r="F320" t="s">
        <v>22</v>
      </c>
      <c r="G320" t="s">
        <v>31</v>
      </c>
      <c r="H320" s="1">
        <v>45365</v>
      </c>
      <c r="I320">
        <v>77.1490464298641</v>
      </c>
      <c r="J320">
        <v>6</v>
      </c>
      <c r="K320">
        <v>462.894278579184</v>
      </c>
      <c r="L320">
        <v>138.86828357375501</v>
      </c>
      <c r="M320" t="s">
        <v>34</v>
      </c>
      <c r="N320">
        <f>Supermarket_Sales_Case_Study[[#This Row],[Sales_Amount]]-Supermarket_Sales_Case_Study[[#This Row],[Profit]]</f>
        <v>324.02599500542897</v>
      </c>
      <c r="O320" s="2">
        <f>(Supermarket_Sales_Case_Study[[#This Row],[Sales_Amount]]-Supermarket_Sales_Case_Study[[#This Row],[Purchase]])/Supermarket_Sales_Case_Study[[#This Row],[Sales_Amount]]</f>
        <v>0.29999999999999966</v>
      </c>
      <c r="P320">
        <f>Supermarket_Sales_Case_Study[[#This Row],[Quantity]]*Supermarket_Sales_Case_Study[[#This Row],[Sales_Amount]]</f>
        <v>2777.3656714751041</v>
      </c>
    </row>
    <row r="321" spans="1:16" x14ac:dyDescent="0.3">
      <c r="A321" t="s">
        <v>351</v>
      </c>
      <c r="B321" t="s">
        <v>39</v>
      </c>
      <c r="C321" t="s">
        <v>15</v>
      </c>
      <c r="D321">
        <v>1790</v>
      </c>
      <c r="E321" t="s">
        <v>26</v>
      </c>
      <c r="F321" t="s">
        <v>22</v>
      </c>
      <c r="G321" t="s">
        <v>37</v>
      </c>
      <c r="H321" s="1">
        <v>45343</v>
      </c>
      <c r="I321">
        <v>283.33832250630201</v>
      </c>
      <c r="J321">
        <v>4</v>
      </c>
      <c r="K321">
        <v>1133.3532900252101</v>
      </c>
      <c r="L321">
        <v>340.00598700756302</v>
      </c>
      <c r="M321" t="s">
        <v>34</v>
      </c>
      <c r="N321">
        <f>Supermarket_Sales_Case_Study[[#This Row],[Sales_Amount]]-Supermarket_Sales_Case_Study[[#This Row],[Profit]]</f>
        <v>793.34730301764705</v>
      </c>
      <c r="O321" s="2">
        <f>(Supermarket_Sales_Case_Study[[#This Row],[Sales_Amount]]-Supermarket_Sales_Case_Study[[#This Row],[Purchase]])/Supermarket_Sales_Case_Study[[#This Row],[Sales_Amount]]</f>
        <v>0.3</v>
      </c>
      <c r="P321">
        <f>Supermarket_Sales_Case_Study[[#This Row],[Quantity]]*Supermarket_Sales_Case_Study[[#This Row],[Sales_Amount]]</f>
        <v>4533.4131601008403</v>
      </c>
    </row>
    <row r="322" spans="1:16" x14ac:dyDescent="0.3">
      <c r="A322" t="s">
        <v>352</v>
      </c>
      <c r="B322" t="s">
        <v>21</v>
      </c>
      <c r="C322" t="s">
        <v>15</v>
      </c>
      <c r="D322">
        <v>1648</v>
      </c>
      <c r="E322" t="s">
        <v>26</v>
      </c>
      <c r="F322" t="s">
        <v>22</v>
      </c>
      <c r="G322" t="s">
        <v>33</v>
      </c>
      <c r="H322" s="1">
        <v>45333</v>
      </c>
      <c r="I322">
        <v>22.4228909845428</v>
      </c>
      <c r="J322">
        <v>1</v>
      </c>
      <c r="K322">
        <v>22.4228909845428</v>
      </c>
      <c r="L322">
        <v>6.7268672953628501</v>
      </c>
      <c r="M322" t="s">
        <v>24</v>
      </c>
      <c r="N322">
        <f>Supermarket_Sales_Case_Study[[#This Row],[Sales_Amount]]-Supermarket_Sales_Case_Study[[#This Row],[Profit]]</f>
        <v>15.696023689179949</v>
      </c>
      <c r="O322" s="2">
        <f>(Supermarket_Sales_Case_Study[[#This Row],[Sales_Amount]]-Supermarket_Sales_Case_Study[[#This Row],[Purchase]])/Supermarket_Sales_Case_Study[[#This Row],[Sales_Amount]]</f>
        <v>0.30000000000000049</v>
      </c>
      <c r="P322">
        <f>Supermarket_Sales_Case_Study[[#This Row],[Quantity]]*Supermarket_Sales_Case_Study[[#This Row],[Sales_Amount]]</f>
        <v>22.4228909845428</v>
      </c>
    </row>
    <row r="323" spans="1:16" x14ac:dyDescent="0.3">
      <c r="A323" t="s">
        <v>353</v>
      </c>
      <c r="B323" t="s">
        <v>14</v>
      </c>
      <c r="C323" t="s">
        <v>15</v>
      </c>
      <c r="D323">
        <v>2337</v>
      </c>
      <c r="E323" t="s">
        <v>16</v>
      </c>
      <c r="F323" t="s">
        <v>22</v>
      </c>
      <c r="G323" t="s">
        <v>31</v>
      </c>
      <c r="H323" s="1">
        <v>45323</v>
      </c>
      <c r="I323">
        <v>139.45219817632599</v>
      </c>
      <c r="J323">
        <v>1</v>
      </c>
      <c r="K323">
        <v>139.45219817632599</v>
      </c>
      <c r="L323">
        <v>41.8356594528979</v>
      </c>
      <c r="M323" t="s">
        <v>19</v>
      </c>
      <c r="N323">
        <f>Supermarket_Sales_Case_Study[[#This Row],[Sales_Amount]]-Supermarket_Sales_Case_Study[[#This Row],[Profit]]</f>
        <v>97.616538723428093</v>
      </c>
      <c r="O323" s="2">
        <f>(Supermarket_Sales_Case_Study[[#This Row],[Sales_Amount]]-Supermarket_Sales_Case_Study[[#This Row],[Purchase]])/Supermarket_Sales_Case_Study[[#This Row],[Sales_Amount]]</f>
        <v>0.30000000000000071</v>
      </c>
      <c r="P323">
        <f>Supermarket_Sales_Case_Study[[#This Row],[Quantity]]*Supermarket_Sales_Case_Study[[#This Row],[Sales_Amount]]</f>
        <v>139.45219817632599</v>
      </c>
    </row>
    <row r="324" spans="1:16" x14ac:dyDescent="0.3">
      <c r="A324" t="s">
        <v>354</v>
      </c>
      <c r="B324" t="s">
        <v>39</v>
      </c>
      <c r="C324" t="s">
        <v>15</v>
      </c>
      <c r="D324">
        <v>1220</v>
      </c>
      <c r="E324" t="s">
        <v>16</v>
      </c>
      <c r="F324" t="s">
        <v>22</v>
      </c>
      <c r="G324" t="s">
        <v>23</v>
      </c>
      <c r="H324" s="1">
        <v>45317</v>
      </c>
      <c r="I324">
        <v>30.301018518589</v>
      </c>
      <c r="J324">
        <v>5</v>
      </c>
      <c r="K324">
        <v>151.505092592945</v>
      </c>
      <c r="L324">
        <v>45.451527777883598</v>
      </c>
      <c r="M324" t="s">
        <v>24</v>
      </c>
      <c r="N324">
        <f>Supermarket_Sales_Case_Study[[#This Row],[Sales_Amount]]-Supermarket_Sales_Case_Study[[#This Row],[Profit]]</f>
        <v>106.05356481506141</v>
      </c>
      <c r="O324" s="2">
        <f>(Supermarket_Sales_Case_Study[[#This Row],[Sales_Amount]]-Supermarket_Sales_Case_Study[[#This Row],[Purchase]])/Supermarket_Sales_Case_Study[[#This Row],[Sales_Amount]]</f>
        <v>0.30000000000000066</v>
      </c>
      <c r="P324">
        <f>Supermarket_Sales_Case_Study[[#This Row],[Quantity]]*Supermarket_Sales_Case_Study[[#This Row],[Sales_Amount]]</f>
        <v>757.52546296472497</v>
      </c>
    </row>
    <row r="325" spans="1:16" x14ac:dyDescent="0.3">
      <c r="A325" t="s">
        <v>355</v>
      </c>
      <c r="B325" t="s">
        <v>14</v>
      </c>
      <c r="C325" t="s">
        <v>15</v>
      </c>
      <c r="D325">
        <v>1975</v>
      </c>
      <c r="E325" t="s">
        <v>26</v>
      </c>
      <c r="F325" t="s">
        <v>17</v>
      </c>
      <c r="G325" t="s">
        <v>31</v>
      </c>
      <c r="H325" s="1">
        <v>45316</v>
      </c>
      <c r="I325">
        <v>221.478075444956</v>
      </c>
      <c r="J325">
        <v>2</v>
      </c>
      <c r="K325">
        <v>442.95615088991201</v>
      </c>
      <c r="L325">
        <v>132.88684526697301</v>
      </c>
      <c r="M325" t="s">
        <v>34</v>
      </c>
      <c r="N325">
        <f>Supermarket_Sales_Case_Study[[#This Row],[Sales_Amount]]-Supermarket_Sales_Case_Study[[#This Row],[Profit]]</f>
        <v>310.069305622939</v>
      </c>
      <c r="O325" s="2">
        <f>(Supermarket_Sales_Case_Study[[#This Row],[Sales_Amount]]-Supermarket_Sales_Case_Study[[#This Row],[Purchase]])/Supermarket_Sales_Case_Study[[#This Row],[Sales_Amount]]</f>
        <v>0.29999999999999866</v>
      </c>
      <c r="P325">
        <f>Supermarket_Sales_Case_Study[[#This Row],[Quantity]]*Supermarket_Sales_Case_Study[[#This Row],[Sales_Amount]]</f>
        <v>885.91230177982402</v>
      </c>
    </row>
    <row r="326" spans="1:16" x14ac:dyDescent="0.3">
      <c r="A326" t="s">
        <v>356</v>
      </c>
      <c r="B326" t="s">
        <v>14</v>
      </c>
      <c r="C326" t="s">
        <v>30</v>
      </c>
      <c r="D326">
        <v>2461</v>
      </c>
      <c r="E326" t="s">
        <v>26</v>
      </c>
      <c r="F326" t="s">
        <v>17</v>
      </c>
      <c r="G326" t="s">
        <v>28</v>
      </c>
      <c r="H326" s="1">
        <v>45366</v>
      </c>
      <c r="I326">
        <v>186.43859140520499</v>
      </c>
      <c r="J326">
        <v>4</v>
      </c>
      <c r="K326">
        <v>745.75436562081995</v>
      </c>
      <c r="L326">
        <v>223.726309686246</v>
      </c>
      <c r="M326" t="s">
        <v>34</v>
      </c>
      <c r="N326">
        <f>Supermarket_Sales_Case_Study[[#This Row],[Sales_Amount]]-Supermarket_Sales_Case_Study[[#This Row],[Profit]]</f>
        <v>522.02805593457401</v>
      </c>
      <c r="O326" s="2">
        <f>(Supermarket_Sales_Case_Study[[#This Row],[Sales_Amount]]-Supermarket_Sales_Case_Study[[#This Row],[Purchase]])/Supermarket_Sales_Case_Study[[#This Row],[Sales_Amount]]</f>
        <v>0.29999999999999993</v>
      </c>
      <c r="P326">
        <f>Supermarket_Sales_Case_Study[[#This Row],[Quantity]]*Supermarket_Sales_Case_Study[[#This Row],[Sales_Amount]]</f>
        <v>2983.0174624832798</v>
      </c>
    </row>
    <row r="327" spans="1:16" x14ac:dyDescent="0.3">
      <c r="A327" t="s">
        <v>357</v>
      </c>
      <c r="B327" t="s">
        <v>39</v>
      </c>
      <c r="C327" t="s">
        <v>36</v>
      </c>
      <c r="D327">
        <v>2069</v>
      </c>
      <c r="E327" t="s">
        <v>26</v>
      </c>
      <c r="F327" t="s">
        <v>22</v>
      </c>
      <c r="G327" t="s">
        <v>31</v>
      </c>
      <c r="H327" s="1">
        <v>45314</v>
      </c>
      <c r="I327">
        <v>214.92393640560201</v>
      </c>
      <c r="J327">
        <v>1</v>
      </c>
      <c r="K327">
        <v>214.92393640560201</v>
      </c>
      <c r="L327">
        <v>64.477180921680798</v>
      </c>
      <c r="M327" t="s">
        <v>24</v>
      </c>
      <c r="N327">
        <f>Supermarket_Sales_Case_Study[[#This Row],[Sales_Amount]]-Supermarket_Sales_Case_Study[[#This Row],[Profit]]</f>
        <v>150.44675548392121</v>
      </c>
      <c r="O327" s="2">
        <f>(Supermarket_Sales_Case_Study[[#This Row],[Sales_Amount]]-Supermarket_Sales_Case_Study[[#This Row],[Purchase]])/Supermarket_Sales_Case_Study[[#This Row],[Sales_Amount]]</f>
        <v>0.30000000000000093</v>
      </c>
      <c r="P327">
        <f>Supermarket_Sales_Case_Study[[#This Row],[Quantity]]*Supermarket_Sales_Case_Study[[#This Row],[Sales_Amount]]</f>
        <v>214.92393640560201</v>
      </c>
    </row>
    <row r="328" spans="1:16" x14ac:dyDescent="0.3">
      <c r="A328" t="s">
        <v>358</v>
      </c>
      <c r="B328" t="s">
        <v>21</v>
      </c>
      <c r="C328" t="s">
        <v>30</v>
      </c>
      <c r="D328">
        <v>2215</v>
      </c>
      <c r="E328" t="s">
        <v>26</v>
      </c>
      <c r="F328" t="s">
        <v>17</v>
      </c>
      <c r="G328" t="s">
        <v>28</v>
      </c>
      <c r="H328" s="1">
        <v>45348</v>
      </c>
      <c r="I328">
        <v>118.59931599072399</v>
      </c>
      <c r="J328">
        <v>4</v>
      </c>
      <c r="K328">
        <v>474.39726396289899</v>
      </c>
      <c r="L328">
        <v>142.31917918886899</v>
      </c>
      <c r="M328" t="s">
        <v>24</v>
      </c>
      <c r="N328">
        <f>Supermarket_Sales_Case_Study[[#This Row],[Sales_Amount]]-Supermarket_Sales_Case_Study[[#This Row],[Profit]]</f>
        <v>332.07808477403</v>
      </c>
      <c r="O328" s="2">
        <f>(Supermarket_Sales_Case_Study[[#This Row],[Sales_Amount]]-Supermarket_Sales_Case_Study[[#This Row],[Purchase]])/Supermarket_Sales_Case_Study[[#This Row],[Sales_Amount]]</f>
        <v>0.29999999999999849</v>
      </c>
      <c r="P328">
        <f>Supermarket_Sales_Case_Study[[#This Row],[Quantity]]*Supermarket_Sales_Case_Study[[#This Row],[Sales_Amount]]</f>
        <v>1897.589055851596</v>
      </c>
    </row>
    <row r="329" spans="1:16" x14ac:dyDescent="0.3">
      <c r="A329" t="s">
        <v>359</v>
      </c>
      <c r="B329" t="s">
        <v>39</v>
      </c>
      <c r="C329" t="s">
        <v>15</v>
      </c>
      <c r="D329">
        <v>2402</v>
      </c>
      <c r="E329" t="s">
        <v>16</v>
      </c>
      <c r="F329" t="s">
        <v>17</v>
      </c>
      <c r="G329" t="s">
        <v>28</v>
      </c>
      <c r="H329" s="1">
        <v>45343</v>
      </c>
      <c r="I329">
        <v>117.14976086910001</v>
      </c>
      <c r="J329">
        <v>6</v>
      </c>
      <c r="K329">
        <v>702.89856521460104</v>
      </c>
      <c r="L329">
        <v>210.86956956437999</v>
      </c>
      <c r="M329" t="s">
        <v>19</v>
      </c>
      <c r="N329">
        <f>Supermarket_Sales_Case_Study[[#This Row],[Sales_Amount]]-Supermarket_Sales_Case_Study[[#This Row],[Profit]]</f>
        <v>492.02899565022108</v>
      </c>
      <c r="O329" s="2">
        <f>(Supermarket_Sales_Case_Study[[#This Row],[Sales_Amount]]-Supermarket_Sales_Case_Study[[#This Row],[Purchase]])/Supermarket_Sales_Case_Study[[#This Row],[Sales_Amount]]</f>
        <v>0.29999999999999949</v>
      </c>
      <c r="P329">
        <f>Supermarket_Sales_Case_Study[[#This Row],[Quantity]]*Supermarket_Sales_Case_Study[[#This Row],[Sales_Amount]]</f>
        <v>4217.391391287606</v>
      </c>
    </row>
    <row r="330" spans="1:16" x14ac:dyDescent="0.3">
      <c r="A330" t="s">
        <v>360</v>
      </c>
      <c r="B330" t="s">
        <v>21</v>
      </c>
      <c r="C330" t="s">
        <v>30</v>
      </c>
      <c r="D330">
        <v>1787</v>
      </c>
      <c r="E330" t="s">
        <v>26</v>
      </c>
      <c r="F330" t="s">
        <v>22</v>
      </c>
      <c r="G330" t="s">
        <v>28</v>
      </c>
      <c r="H330" s="1">
        <v>45378</v>
      </c>
      <c r="I330">
        <v>23.1425908986594</v>
      </c>
      <c r="J330">
        <v>4</v>
      </c>
      <c r="K330">
        <v>92.570363594637698</v>
      </c>
      <c r="L330">
        <v>27.771109078391301</v>
      </c>
      <c r="M330" t="s">
        <v>19</v>
      </c>
      <c r="N330">
        <f>Supermarket_Sales_Case_Study[[#This Row],[Sales_Amount]]-Supermarket_Sales_Case_Study[[#This Row],[Profit]]</f>
        <v>64.799254516246393</v>
      </c>
      <c r="O330" s="2">
        <f>(Supermarket_Sales_Case_Study[[#This Row],[Sales_Amount]]-Supermarket_Sales_Case_Study[[#This Row],[Purchase]])/Supermarket_Sales_Case_Study[[#This Row],[Sales_Amount]]</f>
        <v>0.29999999999999993</v>
      </c>
      <c r="P330">
        <f>Supermarket_Sales_Case_Study[[#This Row],[Quantity]]*Supermarket_Sales_Case_Study[[#This Row],[Sales_Amount]]</f>
        <v>370.28145437855079</v>
      </c>
    </row>
    <row r="331" spans="1:16" x14ac:dyDescent="0.3">
      <c r="A331" t="s">
        <v>361</v>
      </c>
      <c r="B331" t="s">
        <v>14</v>
      </c>
      <c r="C331" t="s">
        <v>15</v>
      </c>
      <c r="D331">
        <v>1690</v>
      </c>
      <c r="E331" t="s">
        <v>26</v>
      </c>
      <c r="F331" t="s">
        <v>17</v>
      </c>
      <c r="G331" t="s">
        <v>23</v>
      </c>
      <c r="H331" s="1">
        <v>45322</v>
      </c>
      <c r="I331">
        <v>111.484032463595</v>
      </c>
      <c r="J331">
        <v>1</v>
      </c>
      <c r="K331">
        <v>111.484032463595</v>
      </c>
      <c r="L331">
        <v>33.445209739078599</v>
      </c>
      <c r="M331" t="s">
        <v>34</v>
      </c>
      <c r="N331">
        <f>Supermarket_Sales_Case_Study[[#This Row],[Sales_Amount]]-Supermarket_Sales_Case_Study[[#This Row],[Profit]]</f>
        <v>78.038822724516393</v>
      </c>
      <c r="O331" s="2">
        <f>(Supermarket_Sales_Case_Study[[#This Row],[Sales_Amount]]-Supermarket_Sales_Case_Study[[#This Row],[Purchase]])/Supermarket_Sales_Case_Study[[#This Row],[Sales_Amount]]</f>
        <v>0.30000000000000093</v>
      </c>
      <c r="P331">
        <f>Supermarket_Sales_Case_Study[[#This Row],[Quantity]]*Supermarket_Sales_Case_Study[[#This Row],[Sales_Amount]]</f>
        <v>111.484032463595</v>
      </c>
    </row>
    <row r="332" spans="1:16" x14ac:dyDescent="0.3">
      <c r="A332" t="s">
        <v>362</v>
      </c>
      <c r="B332" t="s">
        <v>21</v>
      </c>
      <c r="C332" t="s">
        <v>15</v>
      </c>
      <c r="D332">
        <v>2357</v>
      </c>
      <c r="E332" t="s">
        <v>26</v>
      </c>
      <c r="F332" t="s">
        <v>22</v>
      </c>
      <c r="G332" t="s">
        <v>31</v>
      </c>
      <c r="H332" s="1">
        <v>45355</v>
      </c>
      <c r="I332">
        <v>279.49363665599702</v>
      </c>
      <c r="J332">
        <v>7</v>
      </c>
      <c r="K332">
        <v>1956.45545659198</v>
      </c>
      <c r="L332">
        <v>586.93663697759405</v>
      </c>
      <c r="M332" t="s">
        <v>19</v>
      </c>
      <c r="N332">
        <f>Supermarket_Sales_Case_Study[[#This Row],[Sales_Amount]]-Supermarket_Sales_Case_Study[[#This Row],[Profit]]</f>
        <v>1369.5188196143858</v>
      </c>
      <c r="O332" s="2">
        <f>(Supermarket_Sales_Case_Study[[#This Row],[Sales_Amount]]-Supermarket_Sales_Case_Study[[#This Row],[Purchase]])/Supermarket_Sales_Case_Study[[#This Row],[Sales_Amount]]</f>
        <v>0.3000000000000001</v>
      </c>
      <c r="P332">
        <f>Supermarket_Sales_Case_Study[[#This Row],[Quantity]]*Supermarket_Sales_Case_Study[[#This Row],[Sales_Amount]]</f>
        <v>13695.188196143859</v>
      </c>
    </row>
    <row r="333" spans="1:16" x14ac:dyDescent="0.3">
      <c r="A333" t="s">
        <v>363</v>
      </c>
      <c r="B333" t="s">
        <v>21</v>
      </c>
      <c r="C333" t="s">
        <v>30</v>
      </c>
      <c r="D333">
        <v>1038</v>
      </c>
      <c r="E333" t="s">
        <v>26</v>
      </c>
      <c r="F333" t="s">
        <v>22</v>
      </c>
      <c r="G333" t="s">
        <v>31</v>
      </c>
      <c r="H333" s="1">
        <v>45362</v>
      </c>
      <c r="I333">
        <v>119.97569578233001</v>
      </c>
      <c r="J333">
        <v>2</v>
      </c>
      <c r="K333">
        <v>239.95139156466001</v>
      </c>
      <c r="L333">
        <v>71.985417469398101</v>
      </c>
      <c r="M333" t="s">
        <v>19</v>
      </c>
      <c r="N333">
        <f>Supermarket_Sales_Case_Study[[#This Row],[Sales_Amount]]-Supermarket_Sales_Case_Study[[#This Row],[Profit]]</f>
        <v>167.96597409526191</v>
      </c>
      <c r="O333" s="2">
        <f>(Supermarket_Sales_Case_Study[[#This Row],[Sales_Amount]]-Supermarket_Sales_Case_Study[[#This Row],[Purchase]])/Supermarket_Sales_Case_Study[[#This Row],[Sales_Amount]]</f>
        <v>0.30000000000000038</v>
      </c>
      <c r="P333">
        <f>Supermarket_Sales_Case_Study[[#This Row],[Quantity]]*Supermarket_Sales_Case_Study[[#This Row],[Sales_Amount]]</f>
        <v>479.90278312932003</v>
      </c>
    </row>
    <row r="334" spans="1:16" x14ac:dyDescent="0.3">
      <c r="A334" t="s">
        <v>364</v>
      </c>
      <c r="B334" t="s">
        <v>21</v>
      </c>
      <c r="C334" t="s">
        <v>15</v>
      </c>
      <c r="D334">
        <v>2316</v>
      </c>
      <c r="E334" t="s">
        <v>16</v>
      </c>
      <c r="F334" t="s">
        <v>17</v>
      </c>
      <c r="G334" t="s">
        <v>23</v>
      </c>
      <c r="H334" s="1">
        <v>45324</v>
      </c>
      <c r="I334">
        <v>251.09663480437101</v>
      </c>
      <c r="J334">
        <v>9</v>
      </c>
      <c r="K334">
        <v>2259.8697132393399</v>
      </c>
      <c r="L334">
        <v>677.96091397180203</v>
      </c>
      <c r="M334" t="s">
        <v>34</v>
      </c>
      <c r="N334">
        <f>Supermarket_Sales_Case_Study[[#This Row],[Sales_Amount]]-Supermarket_Sales_Case_Study[[#This Row],[Profit]]</f>
        <v>1581.9087992675379</v>
      </c>
      <c r="O334" s="2">
        <f>(Supermarket_Sales_Case_Study[[#This Row],[Sales_Amount]]-Supermarket_Sales_Case_Study[[#This Row],[Purchase]])/Supermarket_Sales_Case_Study[[#This Row],[Sales_Amount]]</f>
        <v>0.30000000000000004</v>
      </c>
      <c r="P334">
        <f>Supermarket_Sales_Case_Study[[#This Row],[Quantity]]*Supermarket_Sales_Case_Study[[#This Row],[Sales_Amount]]</f>
        <v>20338.827419154059</v>
      </c>
    </row>
    <row r="335" spans="1:16" x14ac:dyDescent="0.3">
      <c r="A335" t="s">
        <v>365</v>
      </c>
      <c r="B335" t="s">
        <v>14</v>
      </c>
      <c r="C335" t="s">
        <v>36</v>
      </c>
      <c r="D335">
        <v>1689</v>
      </c>
      <c r="E335" t="s">
        <v>26</v>
      </c>
      <c r="F335" t="s">
        <v>22</v>
      </c>
      <c r="G335" t="s">
        <v>33</v>
      </c>
      <c r="H335" s="1">
        <v>45376</v>
      </c>
      <c r="I335">
        <v>254.27439637748</v>
      </c>
      <c r="J335">
        <v>3</v>
      </c>
      <c r="K335">
        <v>762.82318913244205</v>
      </c>
      <c r="L335">
        <v>228.84695673973201</v>
      </c>
      <c r="M335" t="s">
        <v>34</v>
      </c>
      <c r="N335">
        <f>Supermarket_Sales_Case_Study[[#This Row],[Sales_Amount]]-Supermarket_Sales_Case_Study[[#This Row],[Profit]]</f>
        <v>533.97623239271002</v>
      </c>
      <c r="O335" s="2">
        <f>(Supermarket_Sales_Case_Study[[#This Row],[Sales_Amount]]-Supermarket_Sales_Case_Study[[#This Row],[Purchase]])/Supermarket_Sales_Case_Study[[#This Row],[Sales_Amount]]</f>
        <v>0.29999999999999927</v>
      </c>
      <c r="P335">
        <f>Supermarket_Sales_Case_Study[[#This Row],[Quantity]]*Supermarket_Sales_Case_Study[[#This Row],[Sales_Amount]]</f>
        <v>2288.469567397326</v>
      </c>
    </row>
    <row r="336" spans="1:16" x14ac:dyDescent="0.3">
      <c r="A336" t="s">
        <v>366</v>
      </c>
      <c r="B336" t="s">
        <v>14</v>
      </c>
      <c r="C336" t="s">
        <v>15</v>
      </c>
      <c r="D336">
        <v>1161</v>
      </c>
      <c r="E336" t="s">
        <v>26</v>
      </c>
      <c r="F336" t="s">
        <v>22</v>
      </c>
      <c r="G336" t="s">
        <v>18</v>
      </c>
      <c r="H336" s="1">
        <v>45293</v>
      </c>
      <c r="I336">
        <v>118.239935349977</v>
      </c>
      <c r="J336">
        <v>8</v>
      </c>
      <c r="K336">
        <v>945.91948279982205</v>
      </c>
      <c r="L336">
        <v>283.77584483994599</v>
      </c>
      <c r="M336" t="s">
        <v>34</v>
      </c>
      <c r="N336">
        <f>Supermarket_Sales_Case_Study[[#This Row],[Sales_Amount]]-Supermarket_Sales_Case_Study[[#This Row],[Profit]]</f>
        <v>662.14363795987606</v>
      </c>
      <c r="O336" s="2">
        <f>(Supermarket_Sales_Case_Study[[#This Row],[Sales_Amount]]-Supermarket_Sales_Case_Study[[#This Row],[Purchase]])/Supermarket_Sales_Case_Study[[#This Row],[Sales_Amount]]</f>
        <v>0.29999999999999932</v>
      </c>
      <c r="P336">
        <f>Supermarket_Sales_Case_Study[[#This Row],[Quantity]]*Supermarket_Sales_Case_Study[[#This Row],[Sales_Amount]]</f>
        <v>7567.3558623985764</v>
      </c>
    </row>
    <row r="337" spans="1:16" x14ac:dyDescent="0.3">
      <c r="A337" t="s">
        <v>367</v>
      </c>
      <c r="B337" t="s">
        <v>21</v>
      </c>
      <c r="C337" t="s">
        <v>36</v>
      </c>
      <c r="D337">
        <v>2354</v>
      </c>
      <c r="E337" t="s">
        <v>16</v>
      </c>
      <c r="F337" t="s">
        <v>22</v>
      </c>
      <c r="G337" t="s">
        <v>31</v>
      </c>
      <c r="H337" s="1">
        <v>45309</v>
      </c>
      <c r="I337">
        <v>193.276717314894</v>
      </c>
      <c r="J337">
        <v>8</v>
      </c>
      <c r="K337">
        <v>1546.21373851915</v>
      </c>
      <c r="L337">
        <v>463.86412155574698</v>
      </c>
      <c r="M337" t="s">
        <v>34</v>
      </c>
      <c r="N337">
        <f>Supermarket_Sales_Case_Study[[#This Row],[Sales_Amount]]-Supermarket_Sales_Case_Study[[#This Row],[Profit]]</f>
        <v>1082.3496169634029</v>
      </c>
      <c r="O337" s="2">
        <f>(Supermarket_Sales_Case_Study[[#This Row],[Sales_Amount]]-Supermarket_Sales_Case_Study[[#This Row],[Purchase]])/Supermarket_Sales_Case_Study[[#This Row],[Sales_Amount]]</f>
        <v>0.30000000000000132</v>
      </c>
      <c r="P337">
        <f>Supermarket_Sales_Case_Study[[#This Row],[Quantity]]*Supermarket_Sales_Case_Study[[#This Row],[Sales_Amount]]</f>
        <v>12369.7099081532</v>
      </c>
    </row>
    <row r="338" spans="1:16" x14ac:dyDescent="0.3">
      <c r="A338" t="s">
        <v>368</v>
      </c>
      <c r="B338" t="s">
        <v>21</v>
      </c>
      <c r="C338" t="s">
        <v>36</v>
      </c>
      <c r="D338">
        <v>2127</v>
      </c>
      <c r="E338" t="s">
        <v>16</v>
      </c>
      <c r="F338" t="s">
        <v>22</v>
      </c>
      <c r="G338" t="s">
        <v>18</v>
      </c>
      <c r="H338" s="1">
        <v>45338</v>
      </c>
      <c r="I338">
        <v>37.657764659187002</v>
      </c>
      <c r="J338">
        <v>3</v>
      </c>
      <c r="K338">
        <v>112.973293977561</v>
      </c>
      <c r="L338">
        <v>33.891988193268297</v>
      </c>
      <c r="M338" t="s">
        <v>24</v>
      </c>
      <c r="N338">
        <f>Supermarket_Sales_Case_Study[[#This Row],[Sales_Amount]]-Supermarket_Sales_Case_Study[[#This Row],[Profit]]</f>
        <v>79.081305784292709</v>
      </c>
      <c r="O338" s="2">
        <f>(Supermarket_Sales_Case_Study[[#This Row],[Sales_Amount]]-Supermarket_Sales_Case_Study[[#This Row],[Purchase]])/Supermarket_Sales_Case_Study[[#This Row],[Sales_Amount]]</f>
        <v>0.29999999999999993</v>
      </c>
      <c r="P338">
        <f>Supermarket_Sales_Case_Study[[#This Row],[Quantity]]*Supermarket_Sales_Case_Study[[#This Row],[Sales_Amount]]</f>
        <v>338.91988193268298</v>
      </c>
    </row>
    <row r="339" spans="1:16" x14ac:dyDescent="0.3">
      <c r="A339" t="s">
        <v>369</v>
      </c>
      <c r="B339" t="s">
        <v>39</v>
      </c>
      <c r="C339" t="s">
        <v>15</v>
      </c>
      <c r="D339">
        <v>1160</v>
      </c>
      <c r="E339" t="s">
        <v>16</v>
      </c>
      <c r="F339" t="s">
        <v>22</v>
      </c>
      <c r="G339" t="s">
        <v>37</v>
      </c>
      <c r="H339" s="1">
        <v>45324</v>
      </c>
      <c r="I339">
        <v>40.066788412940099</v>
      </c>
      <c r="J339">
        <v>4</v>
      </c>
      <c r="K339">
        <v>160.26715365176</v>
      </c>
      <c r="L339">
        <v>48.0801460955282</v>
      </c>
      <c r="M339" t="s">
        <v>34</v>
      </c>
      <c r="N339">
        <f>Supermarket_Sales_Case_Study[[#This Row],[Sales_Amount]]-Supermarket_Sales_Case_Study[[#This Row],[Profit]]</f>
        <v>112.1870075562318</v>
      </c>
      <c r="O339" s="2">
        <f>(Supermarket_Sales_Case_Study[[#This Row],[Sales_Amount]]-Supermarket_Sales_Case_Study[[#This Row],[Purchase]])/Supermarket_Sales_Case_Study[[#This Row],[Sales_Amount]]</f>
        <v>0.30000000000000121</v>
      </c>
      <c r="P339">
        <f>Supermarket_Sales_Case_Study[[#This Row],[Quantity]]*Supermarket_Sales_Case_Study[[#This Row],[Sales_Amount]]</f>
        <v>641.06861460703999</v>
      </c>
    </row>
    <row r="340" spans="1:16" x14ac:dyDescent="0.3">
      <c r="A340" t="s">
        <v>370</v>
      </c>
      <c r="B340" t="s">
        <v>21</v>
      </c>
      <c r="C340" t="s">
        <v>30</v>
      </c>
      <c r="D340">
        <v>2077</v>
      </c>
      <c r="E340" t="s">
        <v>26</v>
      </c>
      <c r="F340" t="s">
        <v>17</v>
      </c>
      <c r="G340" t="s">
        <v>37</v>
      </c>
      <c r="H340" s="1">
        <v>45375</v>
      </c>
      <c r="I340">
        <v>24.110722461896799</v>
      </c>
      <c r="J340">
        <v>2</v>
      </c>
      <c r="K340">
        <v>48.221444923793698</v>
      </c>
      <c r="L340">
        <v>14.4664334771381</v>
      </c>
      <c r="M340" t="s">
        <v>34</v>
      </c>
      <c r="N340">
        <f>Supermarket_Sales_Case_Study[[#This Row],[Sales_Amount]]-Supermarket_Sales_Case_Study[[#This Row],[Profit]]</f>
        <v>33.755011446655601</v>
      </c>
      <c r="O340" s="2">
        <f>(Supermarket_Sales_Case_Study[[#This Row],[Sales_Amount]]-Supermarket_Sales_Case_Study[[#This Row],[Purchase]])/Supermarket_Sales_Case_Study[[#This Row],[Sales_Amount]]</f>
        <v>0.29999999999999971</v>
      </c>
      <c r="P340">
        <f>Supermarket_Sales_Case_Study[[#This Row],[Quantity]]*Supermarket_Sales_Case_Study[[#This Row],[Sales_Amount]]</f>
        <v>96.442889847587395</v>
      </c>
    </row>
    <row r="341" spans="1:16" x14ac:dyDescent="0.3">
      <c r="A341" t="s">
        <v>371</v>
      </c>
      <c r="B341" t="s">
        <v>39</v>
      </c>
      <c r="C341" t="s">
        <v>36</v>
      </c>
      <c r="D341">
        <v>2057</v>
      </c>
      <c r="E341" t="s">
        <v>26</v>
      </c>
      <c r="F341" t="s">
        <v>17</v>
      </c>
      <c r="G341" t="s">
        <v>23</v>
      </c>
      <c r="H341" s="1">
        <v>45326</v>
      </c>
      <c r="I341">
        <v>178.49437707878101</v>
      </c>
      <c r="J341">
        <v>4</v>
      </c>
      <c r="K341">
        <v>713.97750831512701</v>
      </c>
      <c r="L341">
        <v>214.193252494538</v>
      </c>
      <c r="M341" t="s">
        <v>34</v>
      </c>
      <c r="N341">
        <f>Supermarket_Sales_Case_Study[[#This Row],[Sales_Amount]]-Supermarket_Sales_Case_Study[[#This Row],[Profit]]</f>
        <v>499.78425582058901</v>
      </c>
      <c r="O341" s="2">
        <f>(Supermarket_Sales_Case_Study[[#This Row],[Sales_Amount]]-Supermarket_Sales_Case_Study[[#This Row],[Purchase]])/Supermarket_Sales_Case_Study[[#This Row],[Sales_Amount]]</f>
        <v>0.29999999999999988</v>
      </c>
      <c r="P341">
        <f>Supermarket_Sales_Case_Study[[#This Row],[Quantity]]*Supermarket_Sales_Case_Study[[#This Row],[Sales_Amount]]</f>
        <v>2855.910033260508</v>
      </c>
    </row>
    <row r="342" spans="1:16" x14ac:dyDescent="0.3">
      <c r="A342" t="s">
        <v>372</v>
      </c>
      <c r="B342" t="s">
        <v>21</v>
      </c>
      <c r="C342" t="s">
        <v>30</v>
      </c>
      <c r="D342">
        <v>1241</v>
      </c>
      <c r="E342" t="s">
        <v>16</v>
      </c>
      <c r="F342" t="s">
        <v>22</v>
      </c>
      <c r="G342" t="s">
        <v>37</v>
      </c>
      <c r="H342" s="1">
        <v>45342</v>
      </c>
      <c r="I342">
        <v>133.56058351156801</v>
      </c>
      <c r="J342">
        <v>9</v>
      </c>
      <c r="K342">
        <v>1202.04525160411</v>
      </c>
      <c r="L342">
        <v>360.61357548123402</v>
      </c>
      <c r="M342" t="s">
        <v>19</v>
      </c>
      <c r="N342">
        <f>Supermarket_Sales_Case_Study[[#This Row],[Sales_Amount]]-Supermarket_Sales_Case_Study[[#This Row],[Profit]]</f>
        <v>841.43167612287607</v>
      </c>
      <c r="O342" s="2">
        <f>(Supermarket_Sales_Case_Study[[#This Row],[Sales_Amount]]-Supermarket_Sales_Case_Study[[#This Row],[Purchase]])/Supermarket_Sales_Case_Study[[#This Row],[Sales_Amount]]</f>
        <v>0.30000000000000082</v>
      </c>
      <c r="P342">
        <f>Supermarket_Sales_Case_Study[[#This Row],[Quantity]]*Supermarket_Sales_Case_Study[[#This Row],[Sales_Amount]]</f>
        <v>10818.40726443699</v>
      </c>
    </row>
    <row r="343" spans="1:16" x14ac:dyDescent="0.3">
      <c r="A343" t="s">
        <v>373</v>
      </c>
      <c r="B343" t="s">
        <v>39</v>
      </c>
      <c r="C343" t="s">
        <v>36</v>
      </c>
      <c r="D343">
        <v>1966</v>
      </c>
      <c r="E343" t="s">
        <v>16</v>
      </c>
      <c r="F343" t="s">
        <v>22</v>
      </c>
      <c r="G343" t="s">
        <v>37</v>
      </c>
      <c r="H343" s="1">
        <v>45309</v>
      </c>
      <c r="I343">
        <v>168.92938343262901</v>
      </c>
      <c r="J343">
        <v>2</v>
      </c>
      <c r="K343">
        <v>337.85876686525899</v>
      </c>
      <c r="L343">
        <v>101.357630059577</v>
      </c>
      <c r="M343" t="s">
        <v>34</v>
      </c>
      <c r="N343">
        <f>Supermarket_Sales_Case_Study[[#This Row],[Sales_Amount]]-Supermarket_Sales_Case_Study[[#This Row],[Profit]]</f>
        <v>236.50113680568199</v>
      </c>
      <c r="O343" s="2">
        <f>(Supermarket_Sales_Case_Study[[#This Row],[Sales_Amount]]-Supermarket_Sales_Case_Study[[#This Row],[Purchase]])/Supermarket_Sales_Case_Study[[#This Row],[Sales_Amount]]</f>
        <v>0.29999999999999793</v>
      </c>
      <c r="P343">
        <f>Supermarket_Sales_Case_Study[[#This Row],[Quantity]]*Supermarket_Sales_Case_Study[[#This Row],[Sales_Amount]]</f>
        <v>675.71753373051797</v>
      </c>
    </row>
    <row r="344" spans="1:16" x14ac:dyDescent="0.3">
      <c r="A344" t="s">
        <v>374</v>
      </c>
      <c r="B344" t="s">
        <v>14</v>
      </c>
      <c r="C344" t="s">
        <v>15</v>
      </c>
      <c r="D344">
        <v>1889</v>
      </c>
      <c r="E344" t="s">
        <v>16</v>
      </c>
      <c r="F344" t="s">
        <v>17</v>
      </c>
      <c r="G344" t="s">
        <v>33</v>
      </c>
      <c r="H344" s="1">
        <v>45379</v>
      </c>
      <c r="I344">
        <v>161.111225247432</v>
      </c>
      <c r="J344">
        <v>3</v>
      </c>
      <c r="K344">
        <v>483.33367574229698</v>
      </c>
      <c r="L344">
        <v>145.00010272268901</v>
      </c>
      <c r="M344" t="s">
        <v>24</v>
      </c>
      <c r="N344">
        <f>Supermarket_Sales_Case_Study[[#This Row],[Sales_Amount]]-Supermarket_Sales_Case_Study[[#This Row],[Profit]]</f>
        <v>338.33357301960797</v>
      </c>
      <c r="O344" s="2">
        <f>(Supermarket_Sales_Case_Study[[#This Row],[Sales_Amount]]-Supermarket_Sales_Case_Study[[#This Row],[Purchase]])/Supermarket_Sales_Case_Study[[#This Row],[Sales_Amount]]</f>
        <v>0.29999999999999982</v>
      </c>
      <c r="P344">
        <f>Supermarket_Sales_Case_Study[[#This Row],[Quantity]]*Supermarket_Sales_Case_Study[[#This Row],[Sales_Amount]]</f>
        <v>1450.001027226891</v>
      </c>
    </row>
    <row r="345" spans="1:16" x14ac:dyDescent="0.3">
      <c r="A345" t="s">
        <v>375</v>
      </c>
      <c r="B345" t="s">
        <v>21</v>
      </c>
      <c r="C345" t="s">
        <v>15</v>
      </c>
      <c r="D345">
        <v>1112</v>
      </c>
      <c r="E345" t="s">
        <v>16</v>
      </c>
      <c r="F345" t="s">
        <v>22</v>
      </c>
      <c r="G345" t="s">
        <v>33</v>
      </c>
      <c r="H345" s="1">
        <v>45363</v>
      </c>
      <c r="I345">
        <v>111.558867416311</v>
      </c>
      <c r="J345">
        <v>4</v>
      </c>
      <c r="K345">
        <v>446.23546966524702</v>
      </c>
      <c r="L345">
        <v>133.870640899574</v>
      </c>
      <c r="M345" t="s">
        <v>24</v>
      </c>
      <c r="N345">
        <f>Supermarket_Sales_Case_Study[[#This Row],[Sales_Amount]]-Supermarket_Sales_Case_Study[[#This Row],[Profit]]</f>
        <v>312.364828765673</v>
      </c>
      <c r="O345" s="2">
        <f>(Supermarket_Sales_Case_Study[[#This Row],[Sales_Amount]]-Supermarket_Sales_Case_Study[[#This Row],[Purchase]])/Supermarket_Sales_Case_Study[[#This Row],[Sales_Amount]]</f>
        <v>0.29999999999999982</v>
      </c>
      <c r="P345">
        <f>Supermarket_Sales_Case_Study[[#This Row],[Quantity]]*Supermarket_Sales_Case_Study[[#This Row],[Sales_Amount]]</f>
        <v>1784.9418786609881</v>
      </c>
    </row>
    <row r="346" spans="1:16" x14ac:dyDescent="0.3">
      <c r="A346" t="s">
        <v>376</v>
      </c>
      <c r="B346" t="s">
        <v>21</v>
      </c>
      <c r="C346" t="s">
        <v>36</v>
      </c>
      <c r="D346">
        <v>2013</v>
      </c>
      <c r="E346" t="s">
        <v>16</v>
      </c>
      <c r="F346" t="s">
        <v>17</v>
      </c>
      <c r="G346" t="s">
        <v>33</v>
      </c>
      <c r="H346" s="1">
        <v>45321</v>
      </c>
      <c r="I346">
        <v>206.467290298807</v>
      </c>
      <c r="J346">
        <v>5</v>
      </c>
      <c r="K346">
        <v>1032.3364514940299</v>
      </c>
      <c r="L346">
        <v>309.70093544820998</v>
      </c>
      <c r="M346" t="s">
        <v>34</v>
      </c>
      <c r="N346">
        <f>Supermarket_Sales_Case_Study[[#This Row],[Sales_Amount]]-Supermarket_Sales_Case_Study[[#This Row],[Profit]]</f>
        <v>722.63551604581994</v>
      </c>
      <c r="O346" s="2">
        <f>(Supermarket_Sales_Case_Study[[#This Row],[Sales_Amount]]-Supermarket_Sales_Case_Study[[#This Row],[Purchase]])/Supermarket_Sales_Case_Study[[#This Row],[Sales_Amount]]</f>
        <v>0.30000000000000099</v>
      </c>
      <c r="P346">
        <f>Supermarket_Sales_Case_Study[[#This Row],[Quantity]]*Supermarket_Sales_Case_Study[[#This Row],[Sales_Amount]]</f>
        <v>5161.6822574701491</v>
      </c>
    </row>
    <row r="347" spans="1:16" x14ac:dyDescent="0.3">
      <c r="A347" t="s">
        <v>377</v>
      </c>
      <c r="B347" t="s">
        <v>21</v>
      </c>
      <c r="C347" t="s">
        <v>15</v>
      </c>
      <c r="D347">
        <v>1317</v>
      </c>
      <c r="E347" t="s">
        <v>16</v>
      </c>
      <c r="F347" t="s">
        <v>22</v>
      </c>
      <c r="G347" t="s">
        <v>37</v>
      </c>
      <c r="H347" s="1">
        <v>45335</v>
      </c>
      <c r="I347">
        <v>229.965545465753</v>
      </c>
      <c r="J347">
        <v>1</v>
      </c>
      <c r="K347">
        <v>229.965545465753</v>
      </c>
      <c r="L347">
        <v>68.989663639725904</v>
      </c>
      <c r="M347" t="s">
        <v>24</v>
      </c>
      <c r="N347">
        <f>Supermarket_Sales_Case_Study[[#This Row],[Sales_Amount]]-Supermarket_Sales_Case_Study[[#This Row],[Profit]]</f>
        <v>160.97588182602709</v>
      </c>
      <c r="O347" s="2">
        <f>(Supermarket_Sales_Case_Study[[#This Row],[Sales_Amount]]-Supermarket_Sales_Case_Study[[#This Row],[Purchase]])/Supermarket_Sales_Case_Study[[#This Row],[Sales_Amount]]</f>
        <v>0.30000000000000004</v>
      </c>
      <c r="P347">
        <f>Supermarket_Sales_Case_Study[[#This Row],[Quantity]]*Supermarket_Sales_Case_Study[[#This Row],[Sales_Amount]]</f>
        <v>229.965545465753</v>
      </c>
    </row>
    <row r="348" spans="1:16" x14ac:dyDescent="0.3">
      <c r="A348" t="s">
        <v>378</v>
      </c>
      <c r="B348" t="s">
        <v>21</v>
      </c>
      <c r="C348" t="s">
        <v>36</v>
      </c>
      <c r="D348">
        <v>1022</v>
      </c>
      <c r="E348" t="s">
        <v>26</v>
      </c>
      <c r="F348" t="s">
        <v>22</v>
      </c>
      <c r="G348" t="s">
        <v>23</v>
      </c>
      <c r="H348" s="1">
        <v>45344</v>
      </c>
      <c r="I348">
        <v>14.242195074525901</v>
      </c>
      <c r="J348">
        <v>7</v>
      </c>
      <c r="K348">
        <v>99.695365521681694</v>
      </c>
      <c r="L348">
        <v>29.908609656504499</v>
      </c>
      <c r="M348" t="s">
        <v>19</v>
      </c>
      <c r="N348">
        <f>Supermarket_Sales_Case_Study[[#This Row],[Sales_Amount]]-Supermarket_Sales_Case_Study[[#This Row],[Profit]]</f>
        <v>69.786755865177199</v>
      </c>
      <c r="O348" s="2">
        <f>(Supermarket_Sales_Case_Study[[#This Row],[Sales_Amount]]-Supermarket_Sales_Case_Study[[#This Row],[Purchase]])/Supermarket_Sales_Case_Study[[#This Row],[Sales_Amount]]</f>
        <v>0.29999999999999988</v>
      </c>
      <c r="P348">
        <f>Supermarket_Sales_Case_Study[[#This Row],[Quantity]]*Supermarket_Sales_Case_Study[[#This Row],[Sales_Amount]]</f>
        <v>697.8675586517719</v>
      </c>
    </row>
    <row r="349" spans="1:16" x14ac:dyDescent="0.3">
      <c r="A349" t="s">
        <v>379</v>
      </c>
      <c r="B349" t="s">
        <v>39</v>
      </c>
      <c r="C349" t="s">
        <v>15</v>
      </c>
      <c r="D349">
        <v>1823</v>
      </c>
      <c r="E349" t="s">
        <v>26</v>
      </c>
      <c r="F349" t="s">
        <v>22</v>
      </c>
      <c r="G349" t="s">
        <v>28</v>
      </c>
      <c r="H349" s="1">
        <v>45301</v>
      </c>
      <c r="I349">
        <v>70.100266932974705</v>
      </c>
      <c r="J349">
        <v>7</v>
      </c>
      <c r="K349">
        <v>490.70186853082203</v>
      </c>
      <c r="L349">
        <v>147.21056055924601</v>
      </c>
      <c r="M349" t="s">
        <v>34</v>
      </c>
      <c r="N349">
        <f>Supermarket_Sales_Case_Study[[#This Row],[Sales_Amount]]-Supermarket_Sales_Case_Study[[#This Row],[Profit]]</f>
        <v>343.49130797157602</v>
      </c>
      <c r="O349" s="2">
        <f>(Supermarket_Sales_Case_Study[[#This Row],[Sales_Amount]]-Supermarket_Sales_Case_Study[[#This Row],[Purchase]])/Supermarket_Sales_Case_Study[[#This Row],[Sales_Amount]]</f>
        <v>0.29999999999999877</v>
      </c>
      <c r="P349">
        <f>Supermarket_Sales_Case_Study[[#This Row],[Quantity]]*Supermarket_Sales_Case_Study[[#This Row],[Sales_Amount]]</f>
        <v>3434.9130797157541</v>
      </c>
    </row>
    <row r="350" spans="1:16" x14ac:dyDescent="0.3">
      <c r="A350" t="s">
        <v>380</v>
      </c>
      <c r="B350" t="s">
        <v>21</v>
      </c>
      <c r="C350" t="s">
        <v>30</v>
      </c>
      <c r="D350">
        <v>2141</v>
      </c>
      <c r="E350" t="s">
        <v>26</v>
      </c>
      <c r="F350" t="s">
        <v>22</v>
      </c>
      <c r="G350" t="s">
        <v>28</v>
      </c>
      <c r="H350" s="1">
        <v>45378</v>
      </c>
      <c r="I350">
        <v>216.83840174416699</v>
      </c>
      <c r="J350">
        <v>9</v>
      </c>
      <c r="K350">
        <v>1951.5456156974999</v>
      </c>
      <c r="L350">
        <v>585.46368470925199</v>
      </c>
      <c r="M350" t="s">
        <v>24</v>
      </c>
      <c r="N350">
        <f>Supermarket_Sales_Case_Study[[#This Row],[Sales_Amount]]-Supermarket_Sales_Case_Study[[#This Row],[Profit]]</f>
        <v>1366.0819309882479</v>
      </c>
      <c r="O350" s="2">
        <f>(Supermarket_Sales_Case_Study[[#This Row],[Sales_Amount]]-Supermarket_Sales_Case_Study[[#This Row],[Purchase]])/Supermarket_Sales_Case_Study[[#This Row],[Sales_Amount]]</f>
        <v>0.30000000000000104</v>
      </c>
      <c r="P350">
        <f>Supermarket_Sales_Case_Study[[#This Row],[Quantity]]*Supermarket_Sales_Case_Study[[#This Row],[Sales_Amount]]</f>
        <v>17563.910541277499</v>
      </c>
    </row>
    <row r="351" spans="1:16" x14ac:dyDescent="0.3">
      <c r="A351" t="s">
        <v>381</v>
      </c>
      <c r="B351" t="s">
        <v>14</v>
      </c>
      <c r="C351" t="s">
        <v>15</v>
      </c>
      <c r="D351">
        <v>1700</v>
      </c>
      <c r="E351" t="s">
        <v>16</v>
      </c>
      <c r="F351" t="s">
        <v>22</v>
      </c>
      <c r="G351" t="s">
        <v>18</v>
      </c>
      <c r="H351" s="1">
        <v>45343</v>
      </c>
      <c r="I351">
        <v>122.119850063811</v>
      </c>
      <c r="J351">
        <v>4</v>
      </c>
      <c r="K351">
        <v>488.47940025524701</v>
      </c>
      <c r="L351">
        <v>146.54382007657401</v>
      </c>
      <c r="M351" t="s">
        <v>24</v>
      </c>
      <c r="N351">
        <f>Supermarket_Sales_Case_Study[[#This Row],[Sales_Amount]]-Supermarket_Sales_Case_Study[[#This Row],[Profit]]</f>
        <v>341.93558017867304</v>
      </c>
      <c r="O351" s="2">
        <f>(Supermarket_Sales_Case_Study[[#This Row],[Sales_Amount]]-Supermarket_Sales_Case_Study[[#This Row],[Purchase]])/Supermarket_Sales_Case_Study[[#This Row],[Sales_Amount]]</f>
        <v>0.29999999999999977</v>
      </c>
      <c r="P351">
        <f>Supermarket_Sales_Case_Study[[#This Row],[Quantity]]*Supermarket_Sales_Case_Study[[#This Row],[Sales_Amount]]</f>
        <v>1953.9176010209881</v>
      </c>
    </row>
    <row r="352" spans="1:16" x14ac:dyDescent="0.3">
      <c r="A352" t="s">
        <v>382</v>
      </c>
      <c r="B352" t="s">
        <v>14</v>
      </c>
      <c r="C352" t="s">
        <v>30</v>
      </c>
      <c r="D352">
        <v>2018</v>
      </c>
      <c r="E352" t="s">
        <v>16</v>
      </c>
      <c r="F352" t="s">
        <v>22</v>
      </c>
      <c r="G352" t="s">
        <v>28</v>
      </c>
      <c r="H352" s="1">
        <v>45340</v>
      </c>
      <c r="I352">
        <v>202.12034461306601</v>
      </c>
      <c r="J352">
        <v>6</v>
      </c>
      <c r="K352">
        <v>1212.72206767839</v>
      </c>
      <c r="L352">
        <v>363.81662030351902</v>
      </c>
      <c r="M352" t="s">
        <v>34</v>
      </c>
      <c r="N352">
        <f>Supermarket_Sales_Case_Study[[#This Row],[Sales_Amount]]-Supermarket_Sales_Case_Study[[#This Row],[Profit]]</f>
        <v>848.90544737487096</v>
      </c>
      <c r="O352" s="2">
        <f>(Supermarket_Sales_Case_Study[[#This Row],[Sales_Amount]]-Supermarket_Sales_Case_Study[[#This Row],[Purchase]])/Supermarket_Sales_Case_Study[[#This Row],[Sales_Amount]]</f>
        <v>0.30000000000000165</v>
      </c>
      <c r="P352">
        <f>Supermarket_Sales_Case_Study[[#This Row],[Quantity]]*Supermarket_Sales_Case_Study[[#This Row],[Sales_Amount]]</f>
        <v>7276.3324060703399</v>
      </c>
    </row>
    <row r="353" spans="1:16" x14ac:dyDescent="0.3">
      <c r="A353" t="s">
        <v>383</v>
      </c>
      <c r="B353" t="s">
        <v>21</v>
      </c>
      <c r="C353" t="s">
        <v>15</v>
      </c>
      <c r="D353">
        <v>2235</v>
      </c>
      <c r="E353" t="s">
        <v>16</v>
      </c>
      <c r="F353" t="s">
        <v>22</v>
      </c>
      <c r="G353" t="s">
        <v>28</v>
      </c>
      <c r="H353" s="1">
        <v>45302</v>
      </c>
      <c r="I353">
        <v>110.61917132302101</v>
      </c>
      <c r="J353">
        <v>2</v>
      </c>
      <c r="K353">
        <v>221.23834264604301</v>
      </c>
      <c r="L353">
        <v>66.371502793813093</v>
      </c>
      <c r="M353" t="s">
        <v>24</v>
      </c>
      <c r="N353">
        <f>Supermarket_Sales_Case_Study[[#This Row],[Sales_Amount]]-Supermarket_Sales_Case_Study[[#This Row],[Profit]]</f>
        <v>154.86683985222993</v>
      </c>
      <c r="O353" s="2">
        <f>(Supermarket_Sales_Case_Study[[#This Row],[Sales_Amount]]-Supermarket_Sales_Case_Study[[#This Row],[Purchase]])/Supermarket_Sales_Case_Study[[#This Row],[Sales_Amount]]</f>
        <v>0.30000000000000082</v>
      </c>
      <c r="P353">
        <f>Supermarket_Sales_Case_Study[[#This Row],[Quantity]]*Supermarket_Sales_Case_Study[[#This Row],[Sales_Amount]]</f>
        <v>442.47668529208602</v>
      </c>
    </row>
    <row r="354" spans="1:16" x14ac:dyDescent="0.3">
      <c r="A354" t="s">
        <v>384</v>
      </c>
      <c r="B354" t="s">
        <v>14</v>
      </c>
      <c r="C354" t="s">
        <v>30</v>
      </c>
      <c r="D354">
        <v>2441</v>
      </c>
      <c r="E354" t="s">
        <v>16</v>
      </c>
      <c r="F354" t="s">
        <v>17</v>
      </c>
      <c r="G354" t="s">
        <v>33</v>
      </c>
      <c r="H354" s="1">
        <v>45357</v>
      </c>
      <c r="I354">
        <v>123.318994175594</v>
      </c>
      <c r="J354">
        <v>4</v>
      </c>
      <c r="K354">
        <v>493.27597670237901</v>
      </c>
      <c r="L354">
        <v>147.98279301071301</v>
      </c>
      <c r="M354" t="s">
        <v>34</v>
      </c>
      <c r="N354">
        <f>Supermarket_Sales_Case_Study[[#This Row],[Sales_Amount]]-Supermarket_Sales_Case_Study[[#This Row],[Profit]]</f>
        <v>345.293183691666</v>
      </c>
      <c r="O354" s="2">
        <f>(Supermarket_Sales_Case_Study[[#This Row],[Sales_Amount]]-Supermarket_Sales_Case_Study[[#This Row],[Purchase]])/Supermarket_Sales_Case_Study[[#This Row],[Sales_Amount]]</f>
        <v>0.2999999999999986</v>
      </c>
      <c r="P354">
        <f>Supermarket_Sales_Case_Study[[#This Row],[Quantity]]*Supermarket_Sales_Case_Study[[#This Row],[Sales_Amount]]</f>
        <v>1973.103906809516</v>
      </c>
    </row>
    <row r="355" spans="1:16" x14ac:dyDescent="0.3">
      <c r="A355" t="s">
        <v>385</v>
      </c>
      <c r="B355" t="s">
        <v>21</v>
      </c>
      <c r="C355" t="s">
        <v>15</v>
      </c>
      <c r="D355">
        <v>2136</v>
      </c>
      <c r="E355" t="s">
        <v>16</v>
      </c>
      <c r="F355" t="s">
        <v>17</v>
      </c>
      <c r="G355" t="s">
        <v>33</v>
      </c>
      <c r="H355" s="1">
        <v>45349</v>
      </c>
      <c r="I355">
        <v>56.016873370008597</v>
      </c>
      <c r="J355">
        <v>2</v>
      </c>
      <c r="K355">
        <v>112.03374674001699</v>
      </c>
      <c r="L355">
        <v>33.610124022005103</v>
      </c>
      <c r="M355" t="s">
        <v>24</v>
      </c>
      <c r="N355">
        <f>Supermarket_Sales_Case_Study[[#This Row],[Sales_Amount]]-Supermarket_Sales_Case_Study[[#This Row],[Profit]]</f>
        <v>78.423622718011899</v>
      </c>
      <c r="O355" s="2">
        <f>(Supermarket_Sales_Case_Study[[#This Row],[Sales_Amount]]-Supermarket_Sales_Case_Study[[#This Row],[Purchase]])/Supermarket_Sales_Case_Study[[#This Row],[Sales_Amount]]</f>
        <v>0.3</v>
      </c>
      <c r="P355">
        <f>Supermarket_Sales_Case_Study[[#This Row],[Quantity]]*Supermarket_Sales_Case_Study[[#This Row],[Sales_Amount]]</f>
        <v>224.06749348003399</v>
      </c>
    </row>
    <row r="356" spans="1:16" x14ac:dyDescent="0.3">
      <c r="A356" t="s">
        <v>386</v>
      </c>
      <c r="B356" t="s">
        <v>21</v>
      </c>
      <c r="C356" t="s">
        <v>30</v>
      </c>
      <c r="D356">
        <v>2067</v>
      </c>
      <c r="E356" t="s">
        <v>16</v>
      </c>
      <c r="F356" t="s">
        <v>17</v>
      </c>
      <c r="G356" t="s">
        <v>37</v>
      </c>
      <c r="H356" s="1">
        <v>45381</v>
      </c>
      <c r="I356">
        <v>84.8869957031864</v>
      </c>
      <c r="J356">
        <v>5</v>
      </c>
      <c r="K356">
        <v>424.43497851593202</v>
      </c>
      <c r="L356">
        <v>127.330493554779</v>
      </c>
      <c r="M356" t="s">
        <v>19</v>
      </c>
      <c r="N356">
        <f>Supermarket_Sales_Case_Study[[#This Row],[Sales_Amount]]-Supermarket_Sales_Case_Study[[#This Row],[Profit]]</f>
        <v>297.10448496115305</v>
      </c>
      <c r="O356" s="2">
        <f>(Supermarket_Sales_Case_Study[[#This Row],[Sales_Amount]]-Supermarket_Sales_Case_Study[[#This Row],[Purchase]])/Supermarket_Sales_Case_Study[[#This Row],[Sales_Amount]]</f>
        <v>0.29999999999999849</v>
      </c>
      <c r="P356">
        <f>Supermarket_Sales_Case_Study[[#This Row],[Quantity]]*Supermarket_Sales_Case_Study[[#This Row],[Sales_Amount]]</f>
        <v>2122.1748925796601</v>
      </c>
    </row>
    <row r="357" spans="1:16" x14ac:dyDescent="0.3">
      <c r="A357" t="s">
        <v>387</v>
      </c>
      <c r="B357" t="s">
        <v>14</v>
      </c>
      <c r="C357" t="s">
        <v>36</v>
      </c>
      <c r="D357">
        <v>1127</v>
      </c>
      <c r="E357" t="s">
        <v>26</v>
      </c>
      <c r="F357" t="s">
        <v>22</v>
      </c>
      <c r="G357" t="s">
        <v>18</v>
      </c>
      <c r="H357" s="1">
        <v>45327</v>
      </c>
      <c r="I357">
        <v>185.56940967720001</v>
      </c>
      <c r="J357">
        <v>7</v>
      </c>
      <c r="K357">
        <v>1298.9858677404</v>
      </c>
      <c r="L357">
        <v>389.69576032212001</v>
      </c>
      <c r="M357" t="s">
        <v>24</v>
      </c>
      <c r="N357">
        <f>Supermarket_Sales_Case_Study[[#This Row],[Sales_Amount]]-Supermarket_Sales_Case_Study[[#This Row],[Profit]]</f>
        <v>909.29010741827994</v>
      </c>
      <c r="O357" s="2">
        <f>(Supermarket_Sales_Case_Study[[#This Row],[Sales_Amount]]-Supermarket_Sales_Case_Study[[#This Row],[Purchase]])/Supermarket_Sales_Case_Study[[#This Row],[Sales_Amount]]</f>
        <v>0.30000000000000004</v>
      </c>
      <c r="P357">
        <f>Supermarket_Sales_Case_Study[[#This Row],[Quantity]]*Supermarket_Sales_Case_Study[[#This Row],[Sales_Amount]]</f>
        <v>9092.9010741827988</v>
      </c>
    </row>
    <row r="358" spans="1:16" x14ac:dyDescent="0.3">
      <c r="A358" t="s">
        <v>388</v>
      </c>
      <c r="B358" t="s">
        <v>21</v>
      </c>
      <c r="C358" t="s">
        <v>36</v>
      </c>
      <c r="D358">
        <v>1875</v>
      </c>
      <c r="E358" t="s">
        <v>26</v>
      </c>
      <c r="F358" t="s">
        <v>22</v>
      </c>
      <c r="G358" t="s">
        <v>31</v>
      </c>
      <c r="H358" s="1">
        <v>45324</v>
      </c>
      <c r="I358">
        <v>135.617302281398</v>
      </c>
      <c r="J358">
        <v>1</v>
      </c>
      <c r="K358">
        <v>135.617302281398</v>
      </c>
      <c r="L358">
        <v>40.685190684419403</v>
      </c>
      <c r="M358" t="s">
        <v>24</v>
      </c>
      <c r="N358">
        <f>Supermarket_Sales_Case_Study[[#This Row],[Sales_Amount]]-Supermarket_Sales_Case_Study[[#This Row],[Profit]]</f>
        <v>94.932111596978586</v>
      </c>
      <c r="O358" s="2">
        <f>(Supermarket_Sales_Case_Study[[#This Row],[Sales_Amount]]-Supermarket_Sales_Case_Study[[#This Row],[Purchase]])/Supermarket_Sales_Case_Study[[#This Row],[Sales_Amount]]</f>
        <v>0.3000000000000001</v>
      </c>
      <c r="P358">
        <f>Supermarket_Sales_Case_Study[[#This Row],[Quantity]]*Supermarket_Sales_Case_Study[[#This Row],[Sales_Amount]]</f>
        <v>135.617302281398</v>
      </c>
    </row>
    <row r="359" spans="1:16" x14ac:dyDescent="0.3">
      <c r="A359" t="s">
        <v>389</v>
      </c>
      <c r="B359" t="s">
        <v>14</v>
      </c>
      <c r="C359" t="s">
        <v>30</v>
      </c>
      <c r="D359">
        <v>1157</v>
      </c>
      <c r="E359" t="s">
        <v>16</v>
      </c>
      <c r="F359" t="s">
        <v>22</v>
      </c>
      <c r="G359" t="s">
        <v>18</v>
      </c>
      <c r="H359" s="1">
        <v>45338</v>
      </c>
      <c r="I359">
        <v>234.54777805393201</v>
      </c>
      <c r="J359">
        <v>7</v>
      </c>
      <c r="K359">
        <v>1641.83444637752</v>
      </c>
      <c r="L359">
        <v>492.55033391325799</v>
      </c>
      <c r="M359" t="s">
        <v>34</v>
      </c>
      <c r="N359">
        <f>Supermarket_Sales_Case_Study[[#This Row],[Sales_Amount]]-Supermarket_Sales_Case_Study[[#This Row],[Profit]]</f>
        <v>1149.2841124642619</v>
      </c>
      <c r="O359" s="2">
        <f>(Supermarket_Sales_Case_Study[[#This Row],[Sales_Amount]]-Supermarket_Sales_Case_Study[[#This Row],[Purchase]])/Supermarket_Sales_Case_Study[[#This Row],[Sales_Amount]]</f>
        <v>0.30000000000000127</v>
      </c>
      <c r="P359">
        <f>Supermarket_Sales_Case_Study[[#This Row],[Quantity]]*Supermarket_Sales_Case_Study[[#This Row],[Sales_Amount]]</f>
        <v>11492.84112464264</v>
      </c>
    </row>
    <row r="360" spans="1:16" x14ac:dyDescent="0.3">
      <c r="A360" t="s">
        <v>390</v>
      </c>
      <c r="B360" t="s">
        <v>39</v>
      </c>
      <c r="C360" t="s">
        <v>15</v>
      </c>
      <c r="D360">
        <v>1826</v>
      </c>
      <c r="E360" t="s">
        <v>26</v>
      </c>
      <c r="F360" t="s">
        <v>22</v>
      </c>
      <c r="G360" t="s">
        <v>18</v>
      </c>
      <c r="H360" s="1">
        <v>45304</v>
      </c>
      <c r="I360">
        <v>257.24963693211902</v>
      </c>
      <c r="J360">
        <v>6</v>
      </c>
      <c r="K360">
        <v>1543.4978215927099</v>
      </c>
      <c r="L360">
        <v>463.04934647781403</v>
      </c>
      <c r="M360" t="s">
        <v>24</v>
      </c>
      <c r="N360">
        <f>Supermarket_Sales_Case_Study[[#This Row],[Sales_Amount]]-Supermarket_Sales_Case_Study[[#This Row],[Profit]]</f>
        <v>1080.4484751148959</v>
      </c>
      <c r="O360" s="2">
        <f>(Supermarket_Sales_Case_Study[[#This Row],[Sales_Amount]]-Supermarket_Sales_Case_Study[[#This Row],[Purchase]])/Supermarket_Sales_Case_Study[[#This Row],[Sales_Amount]]</f>
        <v>0.30000000000000066</v>
      </c>
      <c r="P360">
        <f>Supermarket_Sales_Case_Study[[#This Row],[Quantity]]*Supermarket_Sales_Case_Study[[#This Row],[Sales_Amount]]</f>
        <v>9260.9869295562603</v>
      </c>
    </row>
    <row r="361" spans="1:16" x14ac:dyDescent="0.3">
      <c r="A361" t="s">
        <v>391</v>
      </c>
      <c r="B361" t="s">
        <v>21</v>
      </c>
      <c r="C361" t="s">
        <v>30</v>
      </c>
      <c r="D361">
        <v>2417</v>
      </c>
      <c r="E361" t="s">
        <v>16</v>
      </c>
      <c r="F361" t="s">
        <v>22</v>
      </c>
      <c r="G361" t="s">
        <v>23</v>
      </c>
      <c r="H361" s="1">
        <v>45331</v>
      </c>
      <c r="I361">
        <v>167.07746128286001</v>
      </c>
      <c r="J361">
        <v>6</v>
      </c>
      <c r="K361">
        <v>1002.46476769716</v>
      </c>
      <c r="L361">
        <v>300.73943030914802</v>
      </c>
      <c r="M361" t="s">
        <v>34</v>
      </c>
      <c r="N361">
        <f>Supermarket_Sales_Case_Study[[#This Row],[Sales_Amount]]-Supermarket_Sales_Case_Study[[#This Row],[Profit]]</f>
        <v>701.72533738801201</v>
      </c>
      <c r="O361" s="2">
        <f>(Supermarket_Sales_Case_Study[[#This Row],[Sales_Amount]]-Supermarket_Sales_Case_Study[[#This Row],[Purchase]])/Supermarket_Sales_Case_Study[[#This Row],[Sales_Amount]]</f>
        <v>0.3</v>
      </c>
      <c r="P361">
        <f>Supermarket_Sales_Case_Study[[#This Row],[Quantity]]*Supermarket_Sales_Case_Study[[#This Row],[Sales_Amount]]</f>
        <v>6014.7886061829604</v>
      </c>
    </row>
    <row r="362" spans="1:16" x14ac:dyDescent="0.3">
      <c r="A362" t="s">
        <v>392</v>
      </c>
      <c r="B362" t="s">
        <v>39</v>
      </c>
      <c r="C362" t="s">
        <v>15</v>
      </c>
      <c r="D362">
        <v>1851</v>
      </c>
      <c r="E362" t="s">
        <v>26</v>
      </c>
      <c r="F362" t="s">
        <v>22</v>
      </c>
      <c r="G362" t="s">
        <v>37</v>
      </c>
      <c r="H362" s="1">
        <v>45380</v>
      </c>
      <c r="I362">
        <v>229.89751469625699</v>
      </c>
      <c r="J362">
        <v>8</v>
      </c>
      <c r="K362">
        <v>1839.18011757005</v>
      </c>
      <c r="L362">
        <v>551.75403527101696</v>
      </c>
      <c r="M362" t="s">
        <v>19</v>
      </c>
      <c r="N362">
        <f>Supermarket_Sales_Case_Study[[#This Row],[Sales_Amount]]-Supermarket_Sales_Case_Study[[#This Row],[Profit]]</f>
        <v>1287.4260822990332</v>
      </c>
      <c r="O362" s="2">
        <f>(Supermarket_Sales_Case_Study[[#This Row],[Sales_Amount]]-Supermarket_Sales_Case_Study[[#This Row],[Purchase]])/Supermarket_Sales_Case_Study[[#This Row],[Sales_Amount]]</f>
        <v>0.30000000000000099</v>
      </c>
      <c r="P362">
        <f>Supermarket_Sales_Case_Study[[#This Row],[Quantity]]*Supermarket_Sales_Case_Study[[#This Row],[Sales_Amount]]</f>
        <v>14713.4409405604</v>
      </c>
    </row>
    <row r="363" spans="1:16" x14ac:dyDescent="0.3">
      <c r="A363" t="s">
        <v>393</v>
      </c>
      <c r="B363" t="s">
        <v>14</v>
      </c>
      <c r="C363" t="s">
        <v>36</v>
      </c>
      <c r="D363">
        <v>1511</v>
      </c>
      <c r="E363" t="s">
        <v>16</v>
      </c>
      <c r="F363" t="s">
        <v>22</v>
      </c>
      <c r="G363" t="s">
        <v>23</v>
      </c>
      <c r="H363" s="1">
        <v>45359</v>
      </c>
      <c r="I363">
        <v>99.002308826425306</v>
      </c>
      <c r="J363">
        <v>8</v>
      </c>
      <c r="K363">
        <v>792.01847061140199</v>
      </c>
      <c r="L363">
        <v>237.60554118342</v>
      </c>
      <c r="M363" t="s">
        <v>34</v>
      </c>
      <c r="N363">
        <f>Supermarket_Sales_Case_Study[[#This Row],[Sales_Amount]]-Supermarket_Sales_Case_Study[[#This Row],[Profit]]</f>
        <v>554.41292942798202</v>
      </c>
      <c r="O363" s="2">
        <f>(Supermarket_Sales_Case_Study[[#This Row],[Sales_Amount]]-Supermarket_Sales_Case_Study[[#This Row],[Purchase]])/Supermarket_Sales_Case_Study[[#This Row],[Sales_Amount]]</f>
        <v>0.29999999999999921</v>
      </c>
      <c r="P363">
        <f>Supermarket_Sales_Case_Study[[#This Row],[Quantity]]*Supermarket_Sales_Case_Study[[#This Row],[Sales_Amount]]</f>
        <v>6336.147764891216</v>
      </c>
    </row>
    <row r="364" spans="1:16" x14ac:dyDescent="0.3">
      <c r="A364" t="s">
        <v>394</v>
      </c>
      <c r="B364" t="s">
        <v>39</v>
      </c>
      <c r="C364" t="s">
        <v>15</v>
      </c>
      <c r="D364">
        <v>1044</v>
      </c>
      <c r="E364" t="s">
        <v>16</v>
      </c>
      <c r="F364" t="s">
        <v>17</v>
      </c>
      <c r="G364" t="s">
        <v>18</v>
      </c>
      <c r="H364" s="1">
        <v>45333</v>
      </c>
      <c r="I364">
        <v>130.341652466022</v>
      </c>
      <c r="J364">
        <v>6</v>
      </c>
      <c r="K364">
        <v>782.04991479613602</v>
      </c>
      <c r="L364">
        <v>234.61497443883999</v>
      </c>
      <c r="M364" t="s">
        <v>34</v>
      </c>
      <c r="N364">
        <f>Supermarket_Sales_Case_Study[[#This Row],[Sales_Amount]]-Supermarket_Sales_Case_Study[[#This Row],[Profit]]</f>
        <v>547.434940357296</v>
      </c>
      <c r="O364" s="2">
        <f>(Supermarket_Sales_Case_Study[[#This Row],[Sales_Amount]]-Supermarket_Sales_Case_Study[[#This Row],[Purchase]])/Supermarket_Sales_Case_Study[[#This Row],[Sales_Amount]]</f>
        <v>0.29999999999999899</v>
      </c>
      <c r="P364">
        <f>Supermarket_Sales_Case_Study[[#This Row],[Quantity]]*Supermarket_Sales_Case_Study[[#This Row],[Sales_Amount]]</f>
        <v>4692.2994887768164</v>
      </c>
    </row>
    <row r="365" spans="1:16" x14ac:dyDescent="0.3">
      <c r="A365" t="s">
        <v>395</v>
      </c>
      <c r="B365" t="s">
        <v>39</v>
      </c>
      <c r="C365" t="s">
        <v>36</v>
      </c>
      <c r="D365">
        <v>2131</v>
      </c>
      <c r="E365" t="s">
        <v>26</v>
      </c>
      <c r="F365" t="s">
        <v>22</v>
      </c>
      <c r="G365" t="s">
        <v>18</v>
      </c>
      <c r="H365" s="1">
        <v>45310</v>
      </c>
      <c r="I365">
        <v>216.70552610287999</v>
      </c>
      <c r="J365">
        <v>3</v>
      </c>
      <c r="K365">
        <v>650.11657830864203</v>
      </c>
      <c r="L365">
        <v>195.034973492592</v>
      </c>
      <c r="M365" t="s">
        <v>24</v>
      </c>
      <c r="N365">
        <f>Supermarket_Sales_Case_Study[[#This Row],[Sales_Amount]]-Supermarket_Sales_Case_Study[[#This Row],[Profit]]</f>
        <v>455.08160481605</v>
      </c>
      <c r="O365" s="2">
        <f>(Supermarket_Sales_Case_Study[[#This Row],[Sales_Amount]]-Supermarket_Sales_Case_Study[[#This Row],[Purchase]])/Supermarket_Sales_Case_Study[[#This Row],[Sales_Amount]]</f>
        <v>0.2999999999999991</v>
      </c>
      <c r="P365">
        <f>Supermarket_Sales_Case_Study[[#This Row],[Quantity]]*Supermarket_Sales_Case_Study[[#This Row],[Sales_Amount]]</f>
        <v>1950.349734925926</v>
      </c>
    </row>
    <row r="366" spans="1:16" x14ac:dyDescent="0.3">
      <c r="A366" t="s">
        <v>396</v>
      </c>
      <c r="B366" t="s">
        <v>14</v>
      </c>
      <c r="C366" t="s">
        <v>15</v>
      </c>
      <c r="D366">
        <v>1218</v>
      </c>
      <c r="E366" t="s">
        <v>26</v>
      </c>
      <c r="F366" t="s">
        <v>17</v>
      </c>
      <c r="G366" t="s">
        <v>18</v>
      </c>
      <c r="H366" s="1">
        <v>45373</v>
      </c>
      <c r="I366">
        <v>122.001477916938</v>
      </c>
      <c r="J366">
        <v>5</v>
      </c>
      <c r="K366">
        <v>610.00738958469401</v>
      </c>
      <c r="L366">
        <v>183.00221687540801</v>
      </c>
      <c r="M366" t="s">
        <v>19</v>
      </c>
      <c r="N366">
        <f>Supermarket_Sales_Case_Study[[#This Row],[Sales_Amount]]-Supermarket_Sales_Case_Study[[#This Row],[Profit]]</f>
        <v>427.005172709286</v>
      </c>
      <c r="O366" s="2">
        <f>(Supermarket_Sales_Case_Study[[#This Row],[Sales_Amount]]-Supermarket_Sales_Case_Study[[#This Row],[Purchase]])/Supermarket_Sales_Case_Study[[#This Row],[Sales_Amount]]</f>
        <v>0.29999999999999966</v>
      </c>
      <c r="P366">
        <f>Supermarket_Sales_Case_Study[[#This Row],[Quantity]]*Supermarket_Sales_Case_Study[[#This Row],[Sales_Amount]]</f>
        <v>3050.0369479234701</v>
      </c>
    </row>
    <row r="367" spans="1:16" x14ac:dyDescent="0.3">
      <c r="A367" t="s">
        <v>397</v>
      </c>
      <c r="B367" t="s">
        <v>39</v>
      </c>
      <c r="C367" t="s">
        <v>15</v>
      </c>
      <c r="D367">
        <v>1442</v>
      </c>
      <c r="E367" t="s">
        <v>16</v>
      </c>
      <c r="F367" t="s">
        <v>17</v>
      </c>
      <c r="G367" t="s">
        <v>28</v>
      </c>
      <c r="H367" s="1">
        <v>45310</v>
      </c>
      <c r="I367">
        <v>180.666431196106</v>
      </c>
      <c r="J367">
        <v>2</v>
      </c>
      <c r="K367">
        <v>361.33286239221297</v>
      </c>
      <c r="L367">
        <v>108.399858717664</v>
      </c>
      <c r="M367" t="s">
        <v>34</v>
      </c>
      <c r="N367">
        <f>Supermarket_Sales_Case_Study[[#This Row],[Sales_Amount]]-Supermarket_Sales_Case_Study[[#This Row],[Profit]]</f>
        <v>252.93300367454896</v>
      </c>
      <c r="O367" s="2">
        <f>(Supermarket_Sales_Case_Study[[#This Row],[Sales_Amount]]-Supermarket_Sales_Case_Study[[#This Row],[Purchase]])/Supermarket_Sales_Case_Study[[#This Row],[Sales_Amount]]</f>
        <v>0.30000000000000032</v>
      </c>
      <c r="P367">
        <f>Supermarket_Sales_Case_Study[[#This Row],[Quantity]]*Supermarket_Sales_Case_Study[[#This Row],[Sales_Amount]]</f>
        <v>722.66572478442595</v>
      </c>
    </row>
    <row r="368" spans="1:16" x14ac:dyDescent="0.3">
      <c r="A368" t="s">
        <v>398</v>
      </c>
      <c r="B368" t="s">
        <v>39</v>
      </c>
      <c r="C368" t="s">
        <v>15</v>
      </c>
      <c r="D368">
        <v>1314</v>
      </c>
      <c r="E368" t="s">
        <v>16</v>
      </c>
      <c r="F368" t="s">
        <v>22</v>
      </c>
      <c r="G368" t="s">
        <v>23</v>
      </c>
      <c r="H368" s="1">
        <v>45349</v>
      </c>
      <c r="I368">
        <v>63.758105933928299</v>
      </c>
      <c r="J368">
        <v>5</v>
      </c>
      <c r="K368">
        <v>318.79052966964099</v>
      </c>
      <c r="L368">
        <v>95.637158900892501</v>
      </c>
      <c r="M368" t="s">
        <v>24</v>
      </c>
      <c r="N368">
        <f>Supermarket_Sales_Case_Study[[#This Row],[Sales_Amount]]-Supermarket_Sales_Case_Study[[#This Row],[Profit]]</f>
        <v>223.15337076874849</v>
      </c>
      <c r="O368" s="2">
        <f>(Supermarket_Sales_Case_Study[[#This Row],[Sales_Amount]]-Supermarket_Sales_Case_Study[[#This Row],[Purchase]])/Supermarket_Sales_Case_Study[[#This Row],[Sales_Amount]]</f>
        <v>0.30000000000000066</v>
      </c>
      <c r="P368">
        <f>Supermarket_Sales_Case_Study[[#This Row],[Quantity]]*Supermarket_Sales_Case_Study[[#This Row],[Sales_Amount]]</f>
        <v>1593.952648348205</v>
      </c>
    </row>
    <row r="369" spans="1:16" x14ac:dyDescent="0.3">
      <c r="A369" t="s">
        <v>399</v>
      </c>
      <c r="B369" t="s">
        <v>14</v>
      </c>
      <c r="C369" t="s">
        <v>30</v>
      </c>
      <c r="D369">
        <v>1176</v>
      </c>
      <c r="E369" t="s">
        <v>26</v>
      </c>
      <c r="F369" t="s">
        <v>22</v>
      </c>
      <c r="G369" t="s">
        <v>18</v>
      </c>
      <c r="H369" s="1">
        <v>45314</v>
      </c>
      <c r="I369">
        <v>183.93368134144399</v>
      </c>
      <c r="J369">
        <v>9</v>
      </c>
      <c r="K369">
        <v>1655.40313207299</v>
      </c>
      <c r="L369">
        <v>496.62093962189903</v>
      </c>
      <c r="M369" t="s">
        <v>24</v>
      </c>
      <c r="N369">
        <f>Supermarket_Sales_Case_Study[[#This Row],[Sales_Amount]]-Supermarket_Sales_Case_Study[[#This Row],[Profit]]</f>
        <v>1158.7821924510911</v>
      </c>
      <c r="O369" s="2">
        <f>(Supermarket_Sales_Case_Study[[#This Row],[Sales_Amount]]-Supermarket_Sales_Case_Study[[#This Row],[Purchase]])/Supermarket_Sales_Case_Study[[#This Row],[Sales_Amount]]</f>
        <v>0.30000000000000115</v>
      </c>
      <c r="P369">
        <f>Supermarket_Sales_Case_Study[[#This Row],[Quantity]]*Supermarket_Sales_Case_Study[[#This Row],[Sales_Amount]]</f>
        <v>14898.62818865691</v>
      </c>
    </row>
    <row r="370" spans="1:16" x14ac:dyDescent="0.3">
      <c r="A370" t="s">
        <v>400</v>
      </c>
      <c r="B370" t="s">
        <v>39</v>
      </c>
      <c r="C370" t="s">
        <v>30</v>
      </c>
      <c r="D370">
        <v>1227</v>
      </c>
      <c r="E370" t="s">
        <v>26</v>
      </c>
      <c r="F370" t="s">
        <v>17</v>
      </c>
      <c r="G370" t="s">
        <v>33</v>
      </c>
      <c r="H370" s="1">
        <v>45345</v>
      </c>
      <c r="I370">
        <v>259.83897509579901</v>
      </c>
      <c r="J370">
        <v>1</v>
      </c>
      <c r="K370">
        <v>259.83897509579901</v>
      </c>
      <c r="L370">
        <v>77.951692528739699</v>
      </c>
      <c r="M370" t="s">
        <v>34</v>
      </c>
      <c r="N370">
        <f>Supermarket_Sales_Case_Study[[#This Row],[Sales_Amount]]-Supermarket_Sales_Case_Study[[#This Row],[Profit]]</f>
        <v>181.88728256705932</v>
      </c>
      <c r="O370" s="2">
        <f>(Supermarket_Sales_Case_Study[[#This Row],[Sales_Amount]]-Supermarket_Sales_Case_Study[[#This Row],[Purchase]])/Supermarket_Sales_Case_Study[[#This Row],[Sales_Amount]]</f>
        <v>0.3</v>
      </c>
      <c r="P370">
        <f>Supermarket_Sales_Case_Study[[#This Row],[Quantity]]*Supermarket_Sales_Case_Study[[#This Row],[Sales_Amount]]</f>
        <v>259.83897509579901</v>
      </c>
    </row>
    <row r="371" spans="1:16" x14ac:dyDescent="0.3">
      <c r="A371" t="s">
        <v>401</v>
      </c>
      <c r="B371" t="s">
        <v>14</v>
      </c>
      <c r="C371" t="s">
        <v>36</v>
      </c>
      <c r="D371">
        <v>1266</v>
      </c>
      <c r="E371" t="s">
        <v>16</v>
      </c>
      <c r="F371" t="s">
        <v>17</v>
      </c>
      <c r="G371" t="s">
        <v>37</v>
      </c>
      <c r="H371" s="1">
        <v>45371</v>
      </c>
      <c r="I371">
        <v>261.905495548793</v>
      </c>
      <c r="J371">
        <v>5</v>
      </c>
      <c r="K371">
        <v>1309.5274777439599</v>
      </c>
      <c r="L371">
        <v>392.85824332318998</v>
      </c>
      <c r="M371" t="s">
        <v>24</v>
      </c>
      <c r="N371">
        <f>Supermarket_Sales_Case_Study[[#This Row],[Sales_Amount]]-Supermarket_Sales_Case_Study[[#This Row],[Profit]]</f>
        <v>916.66923442076995</v>
      </c>
      <c r="O371" s="2">
        <f>(Supermarket_Sales_Case_Study[[#This Row],[Sales_Amount]]-Supermarket_Sales_Case_Study[[#This Row],[Purchase]])/Supermarket_Sales_Case_Study[[#This Row],[Sales_Amount]]</f>
        <v>0.30000000000000154</v>
      </c>
      <c r="P371">
        <f>Supermarket_Sales_Case_Study[[#This Row],[Quantity]]*Supermarket_Sales_Case_Study[[#This Row],[Sales_Amount]]</f>
        <v>6547.6373887197997</v>
      </c>
    </row>
    <row r="372" spans="1:16" x14ac:dyDescent="0.3">
      <c r="A372" t="s">
        <v>402</v>
      </c>
      <c r="B372" t="s">
        <v>39</v>
      </c>
      <c r="C372" t="s">
        <v>36</v>
      </c>
      <c r="D372">
        <v>1869</v>
      </c>
      <c r="E372" t="s">
        <v>26</v>
      </c>
      <c r="F372" t="s">
        <v>22</v>
      </c>
      <c r="G372" t="s">
        <v>37</v>
      </c>
      <c r="H372" s="1">
        <v>45356</v>
      </c>
      <c r="I372">
        <v>220.059877835566</v>
      </c>
      <c r="J372">
        <v>6</v>
      </c>
      <c r="K372">
        <v>1320.3592670133901</v>
      </c>
      <c r="L372">
        <v>396.10778010401901</v>
      </c>
      <c r="M372" t="s">
        <v>34</v>
      </c>
      <c r="N372">
        <f>Supermarket_Sales_Case_Study[[#This Row],[Sales_Amount]]-Supermarket_Sales_Case_Study[[#This Row],[Profit]]</f>
        <v>924.25148690937112</v>
      </c>
      <c r="O372" s="2">
        <f>(Supermarket_Sales_Case_Study[[#This Row],[Sales_Amount]]-Supermarket_Sales_Case_Study[[#This Row],[Purchase]])/Supermarket_Sales_Case_Study[[#This Row],[Sales_Amount]]</f>
        <v>0.30000000000000149</v>
      </c>
      <c r="P372">
        <f>Supermarket_Sales_Case_Study[[#This Row],[Quantity]]*Supermarket_Sales_Case_Study[[#This Row],[Sales_Amount]]</f>
        <v>7922.15560208034</v>
      </c>
    </row>
    <row r="373" spans="1:16" x14ac:dyDescent="0.3">
      <c r="A373" t="s">
        <v>403</v>
      </c>
      <c r="B373" t="s">
        <v>14</v>
      </c>
      <c r="C373" t="s">
        <v>30</v>
      </c>
      <c r="D373">
        <v>1837</v>
      </c>
      <c r="E373" t="s">
        <v>16</v>
      </c>
      <c r="F373" t="s">
        <v>22</v>
      </c>
      <c r="G373" t="s">
        <v>33</v>
      </c>
      <c r="H373" s="1">
        <v>45303</v>
      </c>
      <c r="I373">
        <v>226.26847993207599</v>
      </c>
      <c r="J373">
        <v>7</v>
      </c>
      <c r="K373">
        <v>1583.8793595245299</v>
      </c>
      <c r="L373">
        <v>475.16380785735998</v>
      </c>
      <c r="M373" t="s">
        <v>34</v>
      </c>
      <c r="N373">
        <f>Supermarket_Sales_Case_Study[[#This Row],[Sales_Amount]]-Supermarket_Sales_Case_Study[[#This Row],[Profit]]</f>
        <v>1108.7155516671701</v>
      </c>
      <c r="O373" s="2">
        <f>(Supermarket_Sales_Case_Study[[#This Row],[Sales_Amount]]-Supermarket_Sales_Case_Study[[#This Row],[Purchase]])/Supermarket_Sales_Case_Study[[#This Row],[Sales_Amount]]</f>
        <v>0.30000000000000054</v>
      </c>
      <c r="P373">
        <f>Supermarket_Sales_Case_Study[[#This Row],[Quantity]]*Supermarket_Sales_Case_Study[[#This Row],[Sales_Amount]]</f>
        <v>11087.15551667171</v>
      </c>
    </row>
    <row r="374" spans="1:16" x14ac:dyDescent="0.3">
      <c r="A374" t="s">
        <v>404</v>
      </c>
      <c r="B374" t="s">
        <v>14</v>
      </c>
      <c r="C374" t="s">
        <v>36</v>
      </c>
      <c r="D374">
        <v>2402</v>
      </c>
      <c r="E374" t="s">
        <v>16</v>
      </c>
      <c r="F374" t="s">
        <v>17</v>
      </c>
      <c r="G374" t="s">
        <v>37</v>
      </c>
      <c r="H374" s="1">
        <v>45315</v>
      </c>
      <c r="I374">
        <v>171.79895909370299</v>
      </c>
      <c r="J374">
        <v>9</v>
      </c>
      <c r="K374">
        <v>1546.19063184332</v>
      </c>
      <c r="L374">
        <v>463.85718955299802</v>
      </c>
      <c r="M374" t="s">
        <v>34</v>
      </c>
      <c r="N374">
        <f>Supermarket_Sales_Case_Study[[#This Row],[Sales_Amount]]-Supermarket_Sales_Case_Study[[#This Row],[Profit]]</f>
        <v>1082.333442290322</v>
      </c>
      <c r="O374" s="2">
        <f>(Supermarket_Sales_Case_Study[[#This Row],[Sales_Amount]]-Supermarket_Sales_Case_Study[[#This Row],[Purchase]])/Supermarket_Sales_Case_Study[[#This Row],[Sales_Amount]]</f>
        <v>0.30000000000000132</v>
      </c>
      <c r="P374">
        <f>Supermarket_Sales_Case_Study[[#This Row],[Quantity]]*Supermarket_Sales_Case_Study[[#This Row],[Sales_Amount]]</f>
        <v>13915.71568658988</v>
      </c>
    </row>
    <row r="375" spans="1:16" x14ac:dyDescent="0.3">
      <c r="A375" t="s">
        <v>405</v>
      </c>
      <c r="B375" t="s">
        <v>39</v>
      </c>
      <c r="C375" t="s">
        <v>30</v>
      </c>
      <c r="D375">
        <v>1488</v>
      </c>
      <c r="E375" t="s">
        <v>16</v>
      </c>
      <c r="F375" t="s">
        <v>22</v>
      </c>
      <c r="G375" t="s">
        <v>28</v>
      </c>
      <c r="H375" s="1">
        <v>45325</v>
      </c>
      <c r="I375">
        <v>179.553746148089</v>
      </c>
      <c r="J375">
        <v>6</v>
      </c>
      <c r="K375">
        <v>1077.32247688853</v>
      </c>
      <c r="L375">
        <v>323.19674306655997</v>
      </c>
      <c r="M375" t="s">
        <v>19</v>
      </c>
      <c r="N375">
        <f>Supermarket_Sales_Case_Study[[#This Row],[Sales_Amount]]-Supermarket_Sales_Case_Study[[#This Row],[Profit]]</f>
        <v>754.12573382197002</v>
      </c>
      <c r="O375" s="2">
        <f>(Supermarket_Sales_Case_Study[[#This Row],[Sales_Amount]]-Supermarket_Sales_Case_Study[[#This Row],[Purchase]])/Supermarket_Sales_Case_Study[[#This Row],[Sales_Amount]]</f>
        <v>0.30000000000000093</v>
      </c>
      <c r="P375">
        <f>Supermarket_Sales_Case_Study[[#This Row],[Quantity]]*Supermarket_Sales_Case_Study[[#This Row],[Sales_Amount]]</f>
        <v>6463.9348613311795</v>
      </c>
    </row>
    <row r="376" spans="1:16" x14ac:dyDescent="0.3">
      <c r="A376" t="s">
        <v>406</v>
      </c>
      <c r="B376" t="s">
        <v>39</v>
      </c>
      <c r="C376" t="s">
        <v>15</v>
      </c>
      <c r="D376">
        <v>1701</v>
      </c>
      <c r="E376" t="s">
        <v>16</v>
      </c>
      <c r="F376" t="s">
        <v>22</v>
      </c>
      <c r="G376" t="s">
        <v>28</v>
      </c>
      <c r="H376" s="1">
        <v>45344</v>
      </c>
      <c r="I376">
        <v>48.758668609050197</v>
      </c>
      <c r="J376">
        <v>5</v>
      </c>
      <c r="K376">
        <v>243.79334304525099</v>
      </c>
      <c r="L376">
        <v>73.138002913575306</v>
      </c>
      <c r="M376" t="s">
        <v>34</v>
      </c>
      <c r="N376">
        <f>Supermarket_Sales_Case_Study[[#This Row],[Sales_Amount]]-Supermarket_Sales_Case_Study[[#This Row],[Profit]]</f>
        <v>170.6553401316757</v>
      </c>
      <c r="O376" s="2">
        <f>(Supermarket_Sales_Case_Study[[#This Row],[Sales_Amount]]-Supermarket_Sales_Case_Study[[#This Row],[Purchase]])/Supermarket_Sales_Case_Study[[#This Row],[Sales_Amount]]</f>
        <v>0.3</v>
      </c>
      <c r="P376">
        <f>Supermarket_Sales_Case_Study[[#This Row],[Quantity]]*Supermarket_Sales_Case_Study[[#This Row],[Sales_Amount]]</f>
        <v>1218.966715226255</v>
      </c>
    </row>
    <row r="377" spans="1:16" x14ac:dyDescent="0.3">
      <c r="A377" t="s">
        <v>407</v>
      </c>
      <c r="B377" t="s">
        <v>39</v>
      </c>
      <c r="C377" t="s">
        <v>36</v>
      </c>
      <c r="D377">
        <v>1686</v>
      </c>
      <c r="E377" t="s">
        <v>26</v>
      </c>
      <c r="F377" t="s">
        <v>22</v>
      </c>
      <c r="G377" t="s">
        <v>31</v>
      </c>
      <c r="H377" s="1">
        <v>45299</v>
      </c>
      <c r="I377">
        <v>138.71916464217699</v>
      </c>
      <c r="J377">
        <v>7</v>
      </c>
      <c r="K377">
        <v>971.03415249524096</v>
      </c>
      <c r="L377">
        <v>291.31024574857202</v>
      </c>
      <c r="M377" t="s">
        <v>24</v>
      </c>
      <c r="N377">
        <f>Supermarket_Sales_Case_Study[[#This Row],[Sales_Amount]]-Supermarket_Sales_Case_Study[[#This Row],[Profit]]</f>
        <v>679.72390674666894</v>
      </c>
      <c r="O377" s="2">
        <f>(Supermarket_Sales_Case_Study[[#This Row],[Sales_Amount]]-Supermarket_Sales_Case_Study[[#This Row],[Purchase]])/Supermarket_Sales_Case_Study[[#This Row],[Sales_Amount]]</f>
        <v>0.29999999999999971</v>
      </c>
      <c r="P377">
        <f>Supermarket_Sales_Case_Study[[#This Row],[Quantity]]*Supermarket_Sales_Case_Study[[#This Row],[Sales_Amount]]</f>
        <v>6797.2390674666867</v>
      </c>
    </row>
    <row r="378" spans="1:16" x14ac:dyDescent="0.3">
      <c r="A378" t="s">
        <v>408</v>
      </c>
      <c r="B378" t="s">
        <v>21</v>
      </c>
      <c r="C378" t="s">
        <v>36</v>
      </c>
      <c r="D378">
        <v>2313</v>
      </c>
      <c r="E378" t="s">
        <v>26</v>
      </c>
      <c r="F378" t="s">
        <v>17</v>
      </c>
      <c r="G378" t="s">
        <v>31</v>
      </c>
      <c r="H378" s="1">
        <v>45309</v>
      </c>
      <c r="I378">
        <v>140.725122327045</v>
      </c>
      <c r="J378">
        <v>1</v>
      </c>
      <c r="K378">
        <v>140.725122327045</v>
      </c>
      <c r="L378">
        <v>42.217536698113598</v>
      </c>
      <c r="M378" t="s">
        <v>19</v>
      </c>
      <c r="N378">
        <f>Supermarket_Sales_Case_Study[[#This Row],[Sales_Amount]]-Supermarket_Sales_Case_Study[[#This Row],[Profit]]</f>
        <v>98.507585628931395</v>
      </c>
      <c r="O378" s="2">
        <f>(Supermarket_Sales_Case_Study[[#This Row],[Sales_Amount]]-Supermarket_Sales_Case_Study[[#This Row],[Purchase]])/Supermarket_Sales_Case_Study[[#This Row],[Sales_Amount]]</f>
        <v>0.30000000000000077</v>
      </c>
      <c r="P378">
        <f>Supermarket_Sales_Case_Study[[#This Row],[Quantity]]*Supermarket_Sales_Case_Study[[#This Row],[Sales_Amount]]</f>
        <v>140.725122327045</v>
      </c>
    </row>
    <row r="379" spans="1:16" x14ac:dyDescent="0.3">
      <c r="A379" t="s">
        <v>409</v>
      </c>
      <c r="B379" t="s">
        <v>21</v>
      </c>
      <c r="C379" t="s">
        <v>30</v>
      </c>
      <c r="D379">
        <v>1995</v>
      </c>
      <c r="E379" t="s">
        <v>26</v>
      </c>
      <c r="F379" t="s">
        <v>17</v>
      </c>
      <c r="G379" t="s">
        <v>31</v>
      </c>
      <c r="H379" s="1">
        <v>45348</v>
      </c>
      <c r="I379">
        <v>287.96437234364402</v>
      </c>
      <c r="J379">
        <v>5</v>
      </c>
      <c r="K379">
        <v>1439.8218617182199</v>
      </c>
      <c r="L379">
        <v>431.94655851546599</v>
      </c>
      <c r="M379" t="s">
        <v>24</v>
      </c>
      <c r="N379">
        <f>Supermarket_Sales_Case_Study[[#This Row],[Sales_Amount]]-Supermarket_Sales_Case_Study[[#This Row],[Profit]]</f>
        <v>1007.8753032027539</v>
      </c>
      <c r="O379" s="2">
        <f>(Supermarket_Sales_Case_Study[[#This Row],[Sales_Amount]]-Supermarket_Sales_Case_Study[[#This Row],[Purchase]])/Supermarket_Sales_Case_Study[[#This Row],[Sales_Amount]]</f>
        <v>0.3</v>
      </c>
      <c r="P379">
        <f>Supermarket_Sales_Case_Study[[#This Row],[Quantity]]*Supermarket_Sales_Case_Study[[#This Row],[Sales_Amount]]</f>
        <v>7199.1093085910998</v>
      </c>
    </row>
    <row r="380" spans="1:16" x14ac:dyDescent="0.3">
      <c r="A380" t="s">
        <v>410</v>
      </c>
      <c r="B380" t="s">
        <v>21</v>
      </c>
      <c r="C380" t="s">
        <v>36</v>
      </c>
      <c r="D380">
        <v>1356</v>
      </c>
      <c r="E380" t="s">
        <v>26</v>
      </c>
      <c r="F380" t="s">
        <v>17</v>
      </c>
      <c r="G380" t="s">
        <v>37</v>
      </c>
      <c r="H380" s="1">
        <v>45296</v>
      </c>
      <c r="I380">
        <v>135.01519016075301</v>
      </c>
      <c r="J380">
        <v>2</v>
      </c>
      <c r="K380">
        <v>270.03038032150698</v>
      </c>
      <c r="L380">
        <v>81.009114096452294</v>
      </c>
      <c r="M380" t="s">
        <v>19</v>
      </c>
      <c r="N380">
        <f>Supermarket_Sales_Case_Study[[#This Row],[Sales_Amount]]-Supermarket_Sales_Case_Study[[#This Row],[Profit]]</f>
        <v>189.02126622505469</v>
      </c>
      <c r="O380" s="2">
        <f>(Supermarket_Sales_Case_Study[[#This Row],[Sales_Amount]]-Supermarket_Sales_Case_Study[[#This Row],[Purchase]])/Supermarket_Sales_Case_Study[[#This Row],[Sales_Amount]]</f>
        <v>0.30000000000000071</v>
      </c>
      <c r="P380">
        <f>Supermarket_Sales_Case_Study[[#This Row],[Quantity]]*Supermarket_Sales_Case_Study[[#This Row],[Sales_Amount]]</f>
        <v>540.06076064301396</v>
      </c>
    </row>
    <row r="381" spans="1:16" x14ac:dyDescent="0.3">
      <c r="A381" t="s">
        <v>411</v>
      </c>
      <c r="B381" t="s">
        <v>14</v>
      </c>
      <c r="C381" t="s">
        <v>36</v>
      </c>
      <c r="D381">
        <v>1871</v>
      </c>
      <c r="E381" t="s">
        <v>26</v>
      </c>
      <c r="F381" t="s">
        <v>22</v>
      </c>
      <c r="G381" t="s">
        <v>28</v>
      </c>
      <c r="H381" s="1">
        <v>45317</v>
      </c>
      <c r="I381">
        <v>169.30936702179901</v>
      </c>
      <c r="J381">
        <v>4</v>
      </c>
      <c r="K381">
        <v>677.23746808719795</v>
      </c>
      <c r="L381">
        <v>203.17124042615899</v>
      </c>
      <c r="M381" t="s">
        <v>19</v>
      </c>
      <c r="N381">
        <f>Supermarket_Sales_Case_Study[[#This Row],[Sales_Amount]]-Supermarket_Sales_Case_Study[[#This Row],[Profit]]</f>
        <v>474.06622766103897</v>
      </c>
      <c r="O381" s="2">
        <f>(Supermarket_Sales_Case_Study[[#This Row],[Sales_Amount]]-Supermarket_Sales_Case_Study[[#This Row],[Purchase]])/Supermarket_Sales_Case_Study[[#This Row],[Sales_Amount]]</f>
        <v>0.29999999999999943</v>
      </c>
      <c r="P381">
        <f>Supermarket_Sales_Case_Study[[#This Row],[Quantity]]*Supermarket_Sales_Case_Study[[#This Row],[Sales_Amount]]</f>
        <v>2708.9498723487918</v>
      </c>
    </row>
    <row r="382" spans="1:16" x14ac:dyDescent="0.3">
      <c r="A382" t="s">
        <v>412</v>
      </c>
      <c r="B382" t="s">
        <v>39</v>
      </c>
      <c r="C382" t="s">
        <v>15</v>
      </c>
      <c r="D382">
        <v>1203</v>
      </c>
      <c r="E382" t="s">
        <v>26</v>
      </c>
      <c r="F382" t="s">
        <v>22</v>
      </c>
      <c r="G382" t="s">
        <v>28</v>
      </c>
      <c r="H382" s="1">
        <v>45321</v>
      </c>
      <c r="I382">
        <v>164.64290579093901</v>
      </c>
      <c r="J382">
        <v>7</v>
      </c>
      <c r="K382">
        <v>1152.5003405365701</v>
      </c>
      <c r="L382">
        <v>345.75010216097297</v>
      </c>
      <c r="M382" t="s">
        <v>19</v>
      </c>
      <c r="N382">
        <f>Supermarket_Sales_Case_Study[[#This Row],[Sales_Amount]]-Supermarket_Sales_Case_Study[[#This Row],[Profit]]</f>
        <v>806.75023837559706</v>
      </c>
      <c r="O382" s="2">
        <f>(Supermarket_Sales_Case_Study[[#This Row],[Sales_Amount]]-Supermarket_Sales_Case_Study[[#This Row],[Purchase]])/Supermarket_Sales_Case_Study[[#This Row],[Sales_Amount]]</f>
        <v>0.30000000000000171</v>
      </c>
      <c r="P382">
        <f>Supermarket_Sales_Case_Study[[#This Row],[Quantity]]*Supermarket_Sales_Case_Study[[#This Row],[Sales_Amount]]</f>
        <v>8067.5023837559911</v>
      </c>
    </row>
    <row r="383" spans="1:16" x14ac:dyDescent="0.3">
      <c r="A383" t="s">
        <v>413</v>
      </c>
      <c r="B383" t="s">
        <v>14</v>
      </c>
      <c r="C383" t="s">
        <v>36</v>
      </c>
      <c r="D383">
        <v>2236</v>
      </c>
      <c r="E383" t="s">
        <v>26</v>
      </c>
      <c r="F383" t="s">
        <v>17</v>
      </c>
      <c r="G383" t="s">
        <v>28</v>
      </c>
      <c r="H383" s="1">
        <v>45345</v>
      </c>
      <c r="I383">
        <v>194.66089794285401</v>
      </c>
      <c r="J383">
        <v>5</v>
      </c>
      <c r="K383">
        <v>973.30448971427404</v>
      </c>
      <c r="L383">
        <v>291.99134691428202</v>
      </c>
      <c r="M383" t="s">
        <v>19</v>
      </c>
      <c r="N383">
        <f>Supermarket_Sales_Case_Study[[#This Row],[Sales_Amount]]-Supermarket_Sales_Case_Study[[#This Row],[Profit]]</f>
        <v>681.31314279999197</v>
      </c>
      <c r="O383" s="2">
        <f>(Supermarket_Sales_Case_Study[[#This Row],[Sales_Amount]]-Supermarket_Sales_Case_Study[[#This Row],[Purchase]])/Supermarket_Sales_Case_Study[[#This Row],[Sales_Amount]]</f>
        <v>0.29999999999999988</v>
      </c>
      <c r="P383">
        <f>Supermarket_Sales_Case_Study[[#This Row],[Quantity]]*Supermarket_Sales_Case_Study[[#This Row],[Sales_Amount]]</f>
        <v>4866.5224485713698</v>
      </c>
    </row>
    <row r="384" spans="1:16" x14ac:dyDescent="0.3">
      <c r="A384" t="s">
        <v>414</v>
      </c>
      <c r="B384" t="s">
        <v>21</v>
      </c>
      <c r="C384" t="s">
        <v>15</v>
      </c>
      <c r="D384">
        <v>1551</v>
      </c>
      <c r="E384" t="s">
        <v>16</v>
      </c>
      <c r="F384" t="s">
        <v>17</v>
      </c>
      <c r="G384" t="s">
        <v>33</v>
      </c>
      <c r="H384" s="1">
        <v>45304</v>
      </c>
      <c r="I384">
        <v>226.98752108624899</v>
      </c>
      <c r="J384">
        <v>6</v>
      </c>
      <c r="K384">
        <v>1361.9251265174901</v>
      </c>
      <c r="L384">
        <v>408.577537955249</v>
      </c>
      <c r="M384" t="s">
        <v>24</v>
      </c>
      <c r="N384">
        <f>Supermarket_Sales_Case_Study[[#This Row],[Sales_Amount]]-Supermarket_Sales_Case_Study[[#This Row],[Profit]]</f>
        <v>953.34758856224107</v>
      </c>
      <c r="O384" s="2">
        <f>(Supermarket_Sales_Case_Study[[#This Row],[Sales_Amount]]-Supermarket_Sales_Case_Study[[#This Row],[Purchase]])/Supermarket_Sales_Case_Study[[#This Row],[Sales_Amount]]</f>
        <v>0.30000000000000143</v>
      </c>
      <c r="P384">
        <f>Supermarket_Sales_Case_Study[[#This Row],[Quantity]]*Supermarket_Sales_Case_Study[[#This Row],[Sales_Amount]]</f>
        <v>8171.5507591049409</v>
      </c>
    </row>
    <row r="385" spans="1:16" x14ac:dyDescent="0.3">
      <c r="A385" t="s">
        <v>415</v>
      </c>
      <c r="B385" t="s">
        <v>39</v>
      </c>
      <c r="C385" t="s">
        <v>30</v>
      </c>
      <c r="D385">
        <v>1322</v>
      </c>
      <c r="E385" t="s">
        <v>26</v>
      </c>
      <c r="F385" t="s">
        <v>17</v>
      </c>
      <c r="G385" t="s">
        <v>28</v>
      </c>
      <c r="H385" s="1">
        <v>45374</v>
      </c>
      <c r="I385">
        <v>75.262144089552905</v>
      </c>
      <c r="J385">
        <v>2</v>
      </c>
      <c r="K385">
        <v>150.52428817910501</v>
      </c>
      <c r="L385">
        <v>45.1572864537317</v>
      </c>
      <c r="M385" t="s">
        <v>34</v>
      </c>
      <c r="N385">
        <f>Supermarket_Sales_Case_Study[[#This Row],[Sales_Amount]]-Supermarket_Sales_Case_Study[[#This Row],[Profit]]</f>
        <v>105.36700172537331</v>
      </c>
      <c r="O385" s="2">
        <f>(Supermarket_Sales_Case_Study[[#This Row],[Sales_Amount]]-Supermarket_Sales_Case_Study[[#This Row],[Purchase]])/Supermarket_Sales_Case_Study[[#This Row],[Sales_Amount]]</f>
        <v>0.30000000000000132</v>
      </c>
      <c r="P385">
        <f>Supermarket_Sales_Case_Study[[#This Row],[Quantity]]*Supermarket_Sales_Case_Study[[#This Row],[Sales_Amount]]</f>
        <v>301.04857635821003</v>
      </c>
    </row>
    <row r="386" spans="1:16" x14ac:dyDescent="0.3">
      <c r="A386" t="s">
        <v>416</v>
      </c>
      <c r="B386" t="s">
        <v>14</v>
      </c>
      <c r="C386" t="s">
        <v>36</v>
      </c>
      <c r="D386">
        <v>1593</v>
      </c>
      <c r="E386" t="s">
        <v>26</v>
      </c>
      <c r="F386" t="s">
        <v>22</v>
      </c>
      <c r="G386" t="s">
        <v>33</v>
      </c>
      <c r="H386" s="1">
        <v>45320</v>
      </c>
      <c r="I386">
        <v>163.33008153854601</v>
      </c>
      <c r="J386">
        <v>3</v>
      </c>
      <c r="K386">
        <v>489.99024461563903</v>
      </c>
      <c r="L386">
        <v>146.99707338469099</v>
      </c>
      <c r="M386" t="s">
        <v>24</v>
      </c>
      <c r="N386">
        <f>Supermarket_Sales_Case_Study[[#This Row],[Sales_Amount]]-Supermarket_Sales_Case_Study[[#This Row],[Profit]]</f>
        <v>342.99317123094806</v>
      </c>
      <c r="O386" s="2">
        <f>(Supermarket_Sales_Case_Study[[#This Row],[Sales_Amount]]-Supermarket_Sales_Case_Study[[#This Row],[Purchase]])/Supermarket_Sales_Case_Study[[#This Row],[Sales_Amount]]</f>
        <v>0.29999999999999849</v>
      </c>
      <c r="P386">
        <f>Supermarket_Sales_Case_Study[[#This Row],[Quantity]]*Supermarket_Sales_Case_Study[[#This Row],[Sales_Amount]]</f>
        <v>1469.970733846917</v>
      </c>
    </row>
    <row r="387" spans="1:16" x14ac:dyDescent="0.3">
      <c r="A387" t="s">
        <v>417</v>
      </c>
      <c r="B387" t="s">
        <v>39</v>
      </c>
      <c r="C387" t="s">
        <v>15</v>
      </c>
      <c r="D387">
        <v>1180</v>
      </c>
      <c r="E387" t="s">
        <v>16</v>
      </c>
      <c r="F387" t="s">
        <v>17</v>
      </c>
      <c r="G387" t="s">
        <v>31</v>
      </c>
      <c r="H387" s="1">
        <v>45294</v>
      </c>
      <c r="I387">
        <v>249.51613512164801</v>
      </c>
      <c r="J387">
        <v>7</v>
      </c>
      <c r="K387">
        <v>1746.61294585154</v>
      </c>
      <c r="L387">
        <v>523.98388375546199</v>
      </c>
      <c r="M387" t="s">
        <v>34</v>
      </c>
      <c r="N387">
        <f>Supermarket_Sales_Case_Study[[#This Row],[Sales_Amount]]-Supermarket_Sales_Case_Study[[#This Row],[Profit]]</f>
        <v>1222.6290620960781</v>
      </c>
      <c r="O387" s="2">
        <f>(Supermarket_Sales_Case_Study[[#This Row],[Sales_Amount]]-Supermarket_Sales_Case_Study[[#This Row],[Purchase]])/Supermarket_Sales_Case_Study[[#This Row],[Sales_Amount]]</f>
        <v>0.29999999999999993</v>
      </c>
      <c r="P387">
        <f>Supermarket_Sales_Case_Study[[#This Row],[Quantity]]*Supermarket_Sales_Case_Study[[#This Row],[Sales_Amount]]</f>
        <v>12226.290620960779</v>
      </c>
    </row>
    <row r="388" spans="1:16" x14ac:dyDescent="0.3">
      <c r="A388" t="s">
        <v>418</v>
      </c>
      <c r="B388" t="s">
        <v>14</v>
      </c>
      <c r="C388" t="s">
        <v>30</v>
      </c>
      <c r="D388">
        <v>1498</v>
      </c>
      <c r="E388" t="s">
        <v>26</v>
      </c>
      <c r="F388" t="s">
        <v>17</v>
      </c>
      <c r="G388" t="s">
        <v>31</v>
      </c>
      <c r="H388" s="1">
        <v>45381</v>
      </c>
      <c r="I388">
        <v>144.303267012878</v>
      </c>
      <c r="J388">
        <v>2</v>
      </c>
      <c r="K388">
        <v>288.60653402575599</v>
      </c>
      <c r="L388">
        <v>86.581960207726993</v>
      </c>
      <c r="M388" t="s">
        <v>24</v>
      </c>
      <c r="N388">
        <f>Supermarket_Sales_Case_Study[[#This Row],[Sales_Amount]]-Supermarket_Sales_Case_Study[[#This Row],[Profit]]</f>
        <v>202.02457381802901</v>
      </c>
      <c r="O388" s="2">
        <f>(Supermarket_Sales_Case_Study[[#This Row],[Sales_Amount]]-Supermarket_Sales_Case_Study[[#This Row],[Purchase]])/Supermarket_Sales_Case_Study[[#This Row],[Sales_Amount]]</f>
        <v>0.30000000000000066</v>
      </c>
      <c r="P388">
        <f>Supermarket_Sales_Case_Study[[#This Row],[Quantity]]*Supermarket_Sales_Case_Study[[#This Row],[Sales_Amount]]</f>
        <v>577.21306805151198</v>
      </c>
    </row>
    <row r="389" spans="1:16" x14ac:dyDescent="0.3">
      <c r="A389" t="s">
        <v>419</v>
      </c>
      <c r="B389" t="s">
        <v>39</v>
      </c>
      <c r="C389" t="s">
        <v>36</v>
      </c>
      <c r="D389">
        <v>2343</v>
      </c>
      <c r="E389" t="s">
        <v>26</v>
      </c>
      <c r="F389" t="s">
        <v>22</v>
      </c>
      <c r="G389" t="s">
        <v>37</v>
      </c>
      <c r="H389" s="1">
        <v>45349</v>
      </c>
      <c r="I389">
        <v>90.752688448336102</v>
      </c>
      <c r="J389">
        <v>6</v>
      </c>
      <c r="K389">
        <v>544.51613069001701</v>
      </c>
      <c r="L389">
        <v>163.354839207005</v>
      </c>
      <c r="M389" t="s">
        <v>19</v>
      </c>
      <c r="N389">
        <f>Supermarket_Sales_Case_Study[[#This Row],[Sales_Amount]]-Supermarket_Sales_Case_Study[[#This Row],[Profit]]</f>
        <v>381.16129148301201</v>
      </c>
      <c r="O389" s="2">
        <f>(Supermarket_Sales_Case_Study[[#This Row],[Sales_Amount]]-Supermarket_Sales_Case_Study[[#This Row],[Purchase]])/Supermarket_Sales_Case_Study[[#This Row],[Sales_Amount]]</f>
        <v>0.29999999999999982</v>
      </c>
      <c r="P389">
        <f>Supermarket_Sales_Case_Study[[#This Row],[Quantity]]*Supermarket_Sales_Case_Study[[#This Row],[Sales_Amount]]</f>
        <v>3267.096784140102</v>
      </c>
    </row>
    <row r="390" spans="1:16" x14ac:dyDescent="0.3">
      <c r="A390" t="s">
        <v>420</v>
      </c>
      <c r="B390" t="s">
        <v>21</v>
      </c>
      <c r="C390" t="s">
        <v>30</v>
      </c>
      <c r="D390">
        <v>1082</v>
      </c>
      <c r="E390" t="s">
        <v>16</v>
      </c>
      <c r="F390" t="s">
        <v>22</v>
      </c>
      <c r="G390" t="s">
        <v>31</v>
      </c>
      <c r="H390" s="1">
        <v>45367</v>
      </c>
      <c r="I390">
        <v>199.86563185332599</v>
      </c>
      <c r="J390">
        <v>5</v>
      </c>
      <c r="K390">
        <v>999.32815926663295</v>
      </c>
      <c r="L390">
        <v>299.79844777999</v>
      </c>
      <c r="M390" t="s">
        <v>19</v>
      </c>
      <c r="N390">
        <f>Supermarket_Sales_Case_Study[[#This Row],[Sales_Amount]]-Supermarket_Sales_Case_Study[[#This Row],[Profit]]</f>
        <v>699.52971148664301</v>
      </c>
      <c r="O390" s="2">
        <f>(Supermarket_Sales_Case_Study[[#This Row],[Sales_Amount]]-Supermarket_Sales_Case_Study[[#This Row],[Purchase]])/Supermarket_Sales_Case_Study[[#This Row],[Sales_Amount]]</f>
        <v>0.30000000000000004</v>
      </c>
      <c r="P390">
        <f>Supermarket_Sales_Case_Study[[#This Row],[Quantity]]*Supermarket_Sales_Case_Study[[#This Row],[Sales_Amount]]</f>
        <v>4996.6407963331649</v>
      </c>
    </row>
    <row r="391" spans="1:16" x14ac:dyDescent="0.3">
      <c r="A391" t="s">
        <v>421</v>
      </c>
      <c r="B391" t="s">
        <v>21</v>
      </c>
      <c r="C391" t="s">
        <v>36</v>
      </c>
      <c r="D391">
        <v>1302</v>
      </c>
      <c r="E391" t="s">
        <v>26</v>
      </c>
      <c r="F391" t="s">
        <v>22</v>
      </c>
      <c r="G391" t="s">
        <v>37</v>
      </c>
      <c r="H391" s="1">
        <v>45293</v>
      </c>
      <c r="I391">
        <v>248.89254478174499</v>
      </c>
      <c r="J391">
        <v>1</v>
      </c>
      <c r="K391">
        <v>248.89254478174499</v>
      </c>
      <c r="L391">
        <v>74.667763434523593</v>
      </c>
      <c r="M391" t="s">
        <v>34</v>
      </c>
      <c r="N391">
        <f>Supermarket_Sales_Case_Study[[#This Row],[Sales_Amount]]-Supermarket_Sales_Case_Study[[#This Row],[Profit]]</f>
        <v>174.22478134722138</v>
      </c>
      <c r="O391" s="2">
        <f>(Supermarket_Sales_Case_Study[[#This Row],[Sales_Amount]]-Supermarket_Sales_Case_Study[[#This Row],[Purchase]])/Supermarket_Sales_Case_Study[[#This Row],[Sales_Amount]]</f>
        <v>0.30000000000000043</v>
      </c>
      <c r="P391">
        <f>Supermarket_Sales_Case_Study[[#This Row],[Quantity]]*Supermarket_Sales_Case_Study[[#This Row],[Sales_Amount]]</f>
        <v>248.89254478174499</v>
      </c>
    </row>
    <row r="392" spans="1:16" x14ac:dyDescent="0.3">
      <c r="A392" t="s">
        <v>422</v>
      </c>
      <c r="B392" t="s">
        <v>39</v>
      </c>
      <c r="C392" t="s">
        <v>30</v>
      </c>
      <c r="D392">
        <v>1261</v>
      </c>
      <c r="E392" t="s">
        <v>26</v>
      </c>
      <c r="F392" t="s">
        <v>17</v>
      </c>
      <c r="G392" t="s">
        <v>18</v>
      </c>
      <c r="H392" s="1">
        <v>45366</v>
      </c>
      <c r="I392">
        <v>28.3106849489434</v>
      </c>
      <c r="J392">
        <v>4</v>
      </c>
      <c r="K392">
        <v>113.24273979577301</v>
      </c>
      <c r="L392">
        <v>33.972821938732103</v>
      </c>
      <c r="M392" t="s">
        <v>34</v>
      </c>
      <c r="N392">
        <f>Supermarket_Sales_Case_Study[[#This Row],[Sales_Amount]]-Supermarket_Sales_Case_Study[[#This Row],[Profit]]</f>
        <v>79.269917857040895</v>
      </c>
      <c r="O392" s="2">
        <f>(Supermarket_Sales_Case_Study[[#This Row],[Sales_Amount]]-Supermarket_Sales_Case_Study[[#This Row],[Purchase]])/Supermarket_Sales_Case_Study[[#This Row],[Sales_Amount]]</f>
        <v>0.30000000000000182</v>
      </c>
      <c r="P392">
        <f>Supermarket_Sales_Case_Study[[#This Row],[Quantity]]*Supermarket_Sales_Case_Study[[#This Row],[Sales_Amount]]</f>
        <v>452.97095918309202</v>
      </c>
    </row>
    <row r="393" spans="1:16" x14ac:dyDescent="0.3">
      <c r="A393" t="s">
        <v>423</v>
      </c>
      <c r="B393" t="s">
        <v>14</v>
      </c>
      <c r="C393" t="s">
        <v>30</v>
      </c>
      <c r="D393">
        <v>1783</v>
      </c>
      <c r="E393" t="s">
        <v>26</v>
      </c>
      <c r="F393" t="s">
        <v>22</v>
      </c>
      <c r="G393" t="s">
        <v>18</v>
      </c>
      <c r="H393" s="1">
        <v>45319</v>
      </c>
      <c r="I393">
        <v>235.26924018809501</v>
      </c>
      <c r="J393">
        <v>2</v>
      </c>
      <c r="K393">
        <v>470.53848037619099</v>
      </c>
      <c r="L393">
        <v>141.161544112857</v>
      </c>
      <c r="M393" t="s">
        <v>24</v>
      </c>
      <c r="N393">
        <f>Supermarket_Sales_Case_Study[[#This Row],[Sales_Amount]]-Supermarket_Sales_Case_Study[[#This Row],[Profit]]</f>
        <v>329.37693626333396</v>
      </c>
      <c r="O393" s="2">
        <f>(Supermarket_Sales_Case_Study[[#This Row],[Sales_Amount]]-Supermarket_Sales_Case_Study[[#This Row],[Purchase]])/Supermarket_Sales_Case_Study[[#This Row],[Sales_Amount]]</f>
        <v>0.29999999999999943</v>
      </c>
      <c r="P393">
        <f>Supermarket_Sales_Case_Study[[#This Row],[Quantity]]*Supermarket_Sales_Case_Study[[#This Row],[Sales_Amount]]</f>
        <v>941.07696075238198</v>
      </c>
    </row>
    <row r="394" spans="1:16" x14ac:dyDescent="0.3">
      <c r="A394" t="s">
        <v>424</v>
      </c>
      <c r="B394" t="s">
        <v>21</v>
      </c>
      <c r="C394" t="s">
        <v>15</v>
      </c>
      <c r="D394">
        <v>2223</v>
      </c>
      <c r="E394" t="s">
        <v>16</v>
      </c>
      <c r="F394" t="s">
        <v>22</v>
      </c>
      <c r="G394" t="s">
        <v>23</v>
      </c>
      <c r="H394" s="1">
        <v>45373</v>
      </c>
      <c r="I394">
        <v>248.27790055891299</v>
      </c>
      <c r="J394">
        <v>4</v>
      </c>
      <c r="K394">
        <v>993.111602235654</v>
      </c>
      <c r="L394">
        <v>297.93348067069599</v>
      </c>
      <c r="M394" t="s">
        <v>34</v>
      </c>
      <c r="N394">
        <f>Supermarket_Sales_Case_Study[[#This Row],[Sales_Amount]]-Supermarket_Sales_Case_Study[[#This Row],[Profit]]</f>
        <v>695.17812156495802</v>
      </c>
      <c r="O394" s="2">
        <f>(Supermarket_Sales_Case_Study[[#This Row],[Sales_Amount]]-Supermarket_Sales_Case_Study[[#This Row],[Purchase]])/Supermarket_Sales_Case_Study[[#This Row],[Sales_Amount]]</f>
        <v>0.29999999999999977</v>
      </c>
      <c r="P394">
        <f>Supermarket_Sales_Case_Study[[#This Row],[Quantity]]*Supermarket_Sales_Case_Study[[#This Row],[Sales_Amount]]</f>
        <v>3972.446408942616</v>
      </c>
    </row>
    <row r="395" spans="1:16" x14ac:dyDescent="0.3">
      <c r="A395" t="s">
        <v>425</v>
      </c>
      <c r="B395" t="s">
        <v>21</v>
      </c>
      <c r="C395" t="s">
        <v>30</v>
      </c>
      <c r="D395">
        <v>2263</v>
      </c>
      <c r="E395" t="s">
        <v>26</v>
      </c>
      <c r="F395" t="s">
        <v>17</v>
      </c>
      <c r="G395" t="s">
        <v>37</v>
      </c>
      <c r="H395" s="1">
        <v>45368</v>
      </c>
      <c r="I395">
        <v>143.84164900069501</v>
      </c>
      <c r="J395">
        <v>1</v>
      </c>
      <c r="K395">
        <v>143.84164900069501</v>
      </c>
      <c r="L395">
        <v>43.152494700208699</v>
      </c>
      <c r="M395" t="s">
        <v>24</v>
      </c>
      <c r="N395">
        <f>Supermarket_Sales_Case_Study[[#This Row],[Sales_Amount]]-Supermarket_Sales_Case_Study[[#This Row],[Profit]]</f>
        <v>100.68915430048631</v>
      </c>
      <c r="O395" s="2">
        <f>(Supermarket_Sales_Case_Study[[#This Row],[Sales_Amount]]-Supermarket_Sales_Case_Study[[#This Row],[Purchase]])/Supermarket_Sales_Case_Study[[#This Row],[Sales_Amount]]</f>
        <v>0.30000000000000138</v>
      </c>
      <c r="P395">
        <f>Supermarket_Sales_Case_Study[[#This Row],[Quantity]]*Supermarket_Sales_Case_Study[[#This Row],[Sales_Amount]]</f>
        <v>143.84164900069501</v>
      </c>
    </row>
    <row r="396" spans="1:16" x14ac:dyDescent="0.3">
      <c r="A396" t="s">
        <v>426</v>
      </c>
      <c r="B396" t="s">
        <v>21</v>
      </c>
      <c r="C396" t="s">
        <v>36</v>
      </c>
      <c r="D396">
        <v>1913</v>
      </c>
      <c r="E396" t="s">
        <v>26</v>
      </c>
      <c r="F396" t="s">
        <v>22</v>
      </c>
      <c r="G396" t="s">
        <v>23</v>
      </c>
      <c r="H396" s="1">
        <v>45377</v>
      </c>
      <c r="I396">
        <v>295.15864047735499</v>
      </c>
      <c r="J396">
        <v>2</v>
      </c>
      <c r="K396">
        <v>590.31728095471101</v>
      </c>
      <c r="L396">
        <v>177.095184286413</v>
      </c>
      <c r="M396" t="s">
        <v>34</v>
      </c>
      <c r="N396">
        <f>Supermarket_Sales_Case_Study[[#This Row],[Sales_Amount]]-Supermarket_Sales_Case_Study[[#This Row],[Profit]]</f>
        <v>413.22209666829804</v>
      </c>
      <c r="O396" s="2">
        <f>(Supermarket_Sales_Case_Study[[#This Row],[Sales_Amount]]-Supermarket_Sales_Case_Study[[#This Row],[Purchase]])/Supermarket_Sales_Case_Study[[#This Row],[Sales_Amount]]</f>
        <v>0.29999999999999943</v>
      </c>
      <c r="P396">
        <f>Supermarket_Sales_Case_Study[[#This Row],[Quantity]]*Supermarket_Sales_Case_Study[[#This Row],[Sales_Amount]]</f>
        <v>1180.634561909422</v>
      </c>
    </row>
    <row r="397" spans="1:16" x14ac:dyDescent="0.3">
      <c r="A397" t="s">
        <v>427</v>
      </c>
      <c r="B397" t="s">
        <v>39</v>
      </c>
      <c r="C397" t="s">
        <v>36</v>
      </c>
      <c r="D397">
        <v>1691</v>
      </c>
      <c r="E397" t="s">
        <v>16</v>
      </c>
      <c r="F397" t="s">
        <v>17</v>
      </c>
      <c r="G397" t="s">
        <v>23</v>
      </c>
      <c r="H397" s="1">
        <v>45367</v>
      </c>
      <c r="I397">
        <v>238.14541880511899</v>
      </c>
      <c r="J397">
        <v>8</v>
      </c>
      <c r="K397">
        <v>1905.1633504409499</v>
      </c>
      <c r="L397">
        <v>571.54900513228699</v>
      </c>
      <c r="M397" t="s">
        <v>34</v>
      </c>
      <c r="N397">
        <f>Supermarket_Sales_Case_Study[[#This Row],[Sales_Amount]]-Supermarket_Sales_Case_Study[[#This Row],[Profit]]</f>
        <v>1333.6143453086629</v>
      </c>
      <c r="O397" s="2">
        <f>(Supermarket_Sales_Case_Study[[#This Row],[Sales_Amount]]-Supermarket_Sales_Case_Study[[#This Row],[Purchase]])/Supermarket_Sales_Case_Study[[#This Row],[Sales_Amount]]</f>
        <v>0.30000000000000104</v>
      </c>
      <c r="P397">
        <f>Supermarket_Sales_Case_Study[[#This Row],[Quantity]]*Supermarket_Sales_Case_Study[[#This Row],[Sales_Amount]]</f>
        <v>15241.306803527599</v>
      </c>
    </row>
    <row r="398" spans="1:16" x14ac:dyDescent="0.3">
      <c r="A398" t="s">
        <v>428</v>
      </c>
      <c r="B398" t="s">
        <v>39</v>
      </c>
      <c r="C398" t="s">
        <v>15</v>
      </c>
      <c r="D398">
        <v>1943</v>
      </c>
      <c r="E398" t="s">
        <v>26</v>
      </c>
      <c r="F398" t="s">
        <v>17</v>
      </c>
      <c r="G398" t="s">
        <v>18</v>
      </c>
      <c r="H398" s="1">
        <v>45293</v>
      </c>
      <c r="I398">
        <v>234.36214381974301</v>
      </c>
      <c r="J398">
        <v>6</v>
      </c>
      <c r="K398">
        <v>1406.1728629184499</v>
      </c>
      <c r="L398">
        <v>421.851858875537</v>
      </c>
      <c r="M398" t="s">
        <v>34</v>
      </c>
      <c r="N398">
        <f>Supermarket_Sales_Case_Study[[#This Row],[Sales_Amount]]-Supermarket_Sales_Case_Study[[#This Row],[Profit]]</f>
        <v>984.32100404291293</v>
      </c>
      <c r="O398" s="2">
        <f>(Supermarket_Sales_Case_Study[[#This Row],[Sales_Amount]]-Supermarket_Sales_Case_Study[[#This Row],[Purchase]])/Supermarket_Sales_Case_Study[[#This Row],[Sales_Amount]]</f>
        <v>0.30000000000000143</v>
      </c>
      <c r="P398">
        <f>Supermarket_Sales_Case_Study[[#This Row],[Quantity]]*Supermarket_Sales_Case_Study[[#This Row],[Sales_Amount]]</f>
        <v>8437.0371775106996</v>
      </c>
    </row>
    <row r="399" spans="1:16" x14ac:dyDescent="0.3">
      <c r="A399" t="s">
        <v>429</v>
      </c>
      <c r="B399" t="s">
        <v>14</v>
      </c>
      <c r="C399" t="s">
        <v>36</v>
      </c>
      <c r="D399">
        <v>1682</v>
      </c>
      <c r="E399" t="s">
        <v>16</v>
      </c>
      <c r="F399" t="s">
        <v>22</v>
      </c>
      <c r="G399" t="s">
        <v>37</v>
      </c>
      <c r="H399" s="1">
        <v>45298</v>
      </c>
      <c r="I399">
        <v>226.87318657949999</v>
      </c>
      <c r="J399">
        <v>2</v>
      </c>
      <c r="K399">
        <v>453.746373159001</v>
      </c>
      <c r="L399">
        <v>136.12391194770001</v>
      </c>
      <c r="M399" t="s">
        <v>19</v>
      </c>
      <c r="N399">
        <f>Supermarket_Sales_Case_Study[[#This Row],[Sales_Amount]]-Supermarket_Sales_Case_Study[[#This Row],[Profit]]</f>
        <v>317.62246121130102</v>
      </c>
      <c r="O399" s="2">
        <f>(Supermarket_Sales_Case_Study[[#This Row],[Sales_Amount]]-Supermarket_Sales_Case_Study[[#This Row],[Purchase]])/Supermarket_Sales_Case_Study[[#This Row],[Sales_Amount]]</f>
        <v>0.29999999999999932</v>
      </c>
      <c r="P399">
        <f>Supermarket_Sales_Case_Study[[#This Row],[Quantity]]*Supermarket_Sales_Case_Study[[#This Row],[Sales_Amount]]</f>
        <v>907.49274631800199</v>
      </c>
    </row>
    <row r="400" spans="1:16" x14ac:dyDescent="0.3">
      <c r="A400" t="s">
        <v>430</v>
      </c>
      <c r="B400" t="s">
        <v>14</v>
      </c>
      <c r="C400" t="s">
        <v>36</v>
      </c>
      <c r="D400">
        <v>2318</v>
      </c>
      <c r="E400" t="s">
        <v>16</v>
      </c>
      <c r="F400" t="s">
        <v>22</v>
      </c>
      <c r="G400" t="s">
        <v>18</v>
      </c>
      <c r="H400" s="1">
        <v>45317</v>
      </c>
      <c r="I400">
        <v>53.676349933299399</v>
      </c>
      <c r="J400">
        <v>6</v>
      </c>
      <c r="K400">
        <v>322.05809959979598</v>
      </c>
      <c r="L400">
        <v>96.617429879938996</v>
      </c>
      <c r="M400" t="s">
        <v>19</v>
      </c>
      <c r="N400">
        <f>Supermarket_Sales_Case_Study[[#This Row],[Sales_Amount]]-Supermarket_Sales_Case_Study[[#This Row],[Profit]]</f>
        <v>225.440669719857</v>
      </c>
      <c r="O400" s="2">
        <f>(Supermarket_Sales_Case_Study[[#This Row],[Sales_Amount]]-Supermarket_Sales_Case_Study[[#This Row],[Purchase]])/Supermarket_Sales_Case_Study[[#This Row],[Sales_Amount]]</f>
        <v>0.3000000000000006</v>
      </c>
      <c r="P400">
        <f>Supermarket_Sales_Case_Study[[#This Row],[Quantity]]*Supermarket_Sales_Case_Study[[#This Row],[Sales_Amount]]</f>
        <v>1932.348597598776</v>
      </c>
    </row>
    <row r="401" spans="1:16" x14ac:dyDescent="0.3">
      <c r="A401" t="s">
        <v>431</v>
      </c>
      <c r="B401" t="s">
        <v>14</v>
      </c>
      <c r="C401" t="s">
        <v>36</v>
      </c>
      <c r="D401">
        <v>1688</v>
      </c>
      <c r="E401" t="s">
        <v>26</v>
      </c>
      <c r="F401" t="s">
        <v>22</v>
      </c>
      <c r="G401" t="s">
        <v>23</v>
      </c>
      <c r="H401" s="1">
        <v>45381</v>
      </c>
      <c r="I401">
        <v>72.996957071373103</v>
      </c>
      <c r="J401">
        <v>9</v>
      </c>
      <c r="K401">
        <v>656.97261364235806</v>
      </c>
      <c r="L401">
        <v>197.091784092707</v>
      </c>
      <c r="M401" t="s">
        <v>24</v>
      </c>
      <c r="N401">
        <f>Supermarket_Sales_Case_Study[[#This Row],[Sales_Amount]]-Supermarket_Sales_Case_Study[[#This Row],[Profit]]</f>
        <v>459.88082954965103</v>
      </c>
      <c r="O401" s="2">
        <f>(Supermarket_Sales_Case_Study[[#This Row],[Sales_Amount]]-Supermarket_Sales_Case_Study[[#This Row],[Purchase]])/Supermarket_Sales_Case_Study[[#This Row],[Sales_Amount]]</f>
        <v>0.29999999999999943</v>
      </c>
      <c r="P401">
        <f>Supermarket_Sales_Case_Study[[#This Row],[Quantity]]*Supermarket_Sales_Case_Study[[#This Row],[Sales_Amount]]</f>
        <v>5912.7535227812223</v>
      </c>
    </row>
    <row r="402" spans="1:16" x14ac:dyDescent="0.3">
      <c r="A402" t="s">
        <v>432</v>
      </c>
      <c r="B402" t="s">
        <v>39</v>
      </c>
      <c r="C402" t="s">
        <v>30</v>
      </c>
      <c r="D402">
        <v>1395</v>
      </c>
      <c r="E402" t="s">
        <v>16</v>
      </c>
      <c r="F402" t="s">
        <v>22</v>
      </c>
      <c r="G402" t="s">
        <v>37</v>
      </c>
      <c r="H402" s="1">
        <v>45379</v>
      </c>
      <c r="I402">
        <v>144.55713812468301</v>
      </c>
      <c r="J402">
        <v>7</v>
      </c>
      <c r="K402">
        <v>1011.8999668727801</v>
      </c>
      <c r="L402">
        <v>303.56999006183401</v>
      </c>
      <c r="M402" t="s">
        <v>34</v>
      </c>
      <c r="N402">
        <f>Supermarket_Sales_Case_Study[[#This Row],[Sales_Amount]]-Supermarket_Sales_Case_Study[[#This Row],[Profit]]</f>
        <v>708.32997681094605</v>
      </c>
      <c r="O402" s="2">
        <f>(Supermarket_Sales_Case_Study[[#This Row],[Sales_Amount]]-Supermarket_Sales_Case_Study[[#This Row],[Purchase]])/Supermarket_Sales_Case_Study[[#This Row],[Sales_Amount]]</f>
        <v>0.3</v>
      </c>
      <c r="P402">
        <f>Supermarket_Sales_Case_Study[[#This Row],[Quantity]]*Supermarket_Sales_Case_Study[[#This Row],[Sales_Amount]]</f>
        <v>7083.2997681094603</v>
      </c>
    </row>
    <row r="403" spans="1:16" x14ac:dyDescent="0.3">
      <c r="A403" t="s">
        <v>433</v>
      </c>
      <c r="B403" t="s">
        <v>39</v>
      </c>
      <c r="C403" t="s">
        <v>30</v>
      </c>
      <c r="D403">
        <v>2161</v>
      </c>
      <c r="E403" t="s">
        <v>16</v>
      </c>
      <c r="F403" t="s">
        <v>22</v>
      </c>
      <c r="G403" t="s">
        <v>23</v>
      </c>
      <c r="H403" s="1">
        <v>45367</v>
      </c>
      <c r="I403">
        <v>86.561261488245094</v>
      </c>
      <c r="J403">
        <v>9</v>
      </c>
      <c r="K403">
        <v>779.05135339420599</v>
      </c>
      <c r="L403">
        <v>233.71540601826101</v>
      </c>
      <c r="M403" t="s">
        <v>24</v>
      </c>
      <c r="N403">
        <f>Supermarket_Sales_Case_Study[[#This Row],[Sales_Amount]]-Supermarket_Sales_Case_Study[[#This Row],[Profit]]</f>
        <v>545.33594737594501</v>
      </c>
      <c r="O403" s="2">
        <f>(Supermarket_Sales_Case_Study[[#This Row],[Sales_Amount]]-Supermarket_Sales_Case_Study[[#This Row],[Purchase]])/Supermarket_Sales_Case_Study[[#This Row],[Sales_Amount]]</f>
        <v>0.29999999999999893</v>
      </c>
      <c r="P403">
        <f>Supermarket_Sales_Case_Study[[#This Row],[Quantity]]*Supermarket_Sales_Case_Study[[#This Row],[Sales_Amount]]</f>
        <v>7011.4621805478537</v>
      </c>
    </row>
    <row r="404" spans="1:16" x14ac:dyDescent="0.3">
      <c r="A404" t="s">
        <v>434</v>
      </c>
      <c r="B404" t="s">
        <v>14</v>
      </c>
      <c r="C404" t="s">
        <v>36</v>
      </c>
      <c r="D404">
        <v>1838</v>
      </c>
      <c r="E404" t="s">
        <v>26</v>
      </c>
      <c r="F404" t="s">
        <v>22</v>
      </c>
      <c r="G404" t="s">
        <v>28</v>
      </c>
      <c r="H404" s="1">
        <v>45307</v>
      </c>
      <c r="I404">
        <v>130.41988197687101</v>
      </c>
      <c r="J404">
        <v>5</v>
      </c>
      <c r="K404">
        <v>652.09940988435801</v>
      </c>
      <c r="L404">
        <v>195.629822965307</v>
      </c>
      <c r="M404" t="s">
        <v>34</v>
      </c>
      <c r="N404">
        <f>Supermarket_Sales_Case_Study[[#This Row],[Sales_Amount]]-Supermarket_Sales_Case_Study[[#This Row],[Profit]]</f>
        <v>456.46958691905104</v>
      </c>
      <c r="O404" s="2">
        <f>(Supermarket_Sales_Case_Study[[#This Row],[Sales_Amount]]-Supermarket_Sales_Case_Study[[#This Row],[Purchase]])/Supermarket_Sales_Case_Study[[#This Row],[Sales_Amount]]</f>
        <v>0.29999999999999932</v>
      </c>
      <c r="P404">
        <f>Supermarket_Sales_Case_Study[[#This Row],[Quantity]]*Supermarket_Sales_Case_Study[[#This Row],[Sales_Amount]]</f>
        <v>3260.4970494217901</v>
      </c>
    </row>
    <row r="405" spans="1:16" x14ac:dyDescent="0.3">
      <c r="A405" t="s">
        <v>435</v>
      </c>
      <c r="B405" t="s">
        <v>14</v>
      </c>
      <c r="C405" t="s">
        <v>15</v>
      </c>
      <c r="D405">
        <v>1877</v>
      </c>
      <c r="E405" t="s">
        <v>16</v>
      </c>
      <c r="F405" t="s">
        <v>17</v>
      </c>
      <c r="G405" t="s">
        <v>37</v>
      </c>
      <c r="H405" s="1">
        <v>45314</v>
      </c>
      <c r="I405">
        <v>267.65459187764702</v>
      </c>
      <c r="J405">
        <v>7</v>
      </c>
      <c r="K405">
        <v>1873.5821431435199</v>
      </c>
      <c r="L405">
        <v>562.07464294305805</v>
      </c>
      <c r="M405" t="s">
        <v>19</v>
      </c>
      <c r="N405">
        <f>Supermarket_Sales_Case_Study[[#This Row],[Sales_Amount]]-Supermarket_Sales_Case_Study[[#This Row],[Profit]]</f>
        <v>1311.5075002004619</v>
      </c>
      <c r="O405" s="2">
        <f>(Supermarket_Sales_Case_Study[[#This Row],[Sales_Amount]]-Supermarket_Sales_Case_Study[[#This Row],[Purchase]])/Supermarket_Sales_Case_Study[[#This Row],[Sales_Amount]]</f>
        <v>0.3000000000000011</v>
      </c>
      <c r="P405">
        <f>Supermarket_Sales_Case_Study[[#This Row],[Quantity]]*Supermarket_Sales_Case_Study[[#This Row],[Sales_Amount]]</f>
        <v>13115.07500200464</v>
      </c>
    </row>
    <row r="406" spans="1:16" x14ac:dyDescent="0.3">
      <c r="A406" t="s">
        <v>436</v>
      </c>
      <c r="B406" t="s">
        <v>39</v>
      </c>
      <c r="C406" t="s">
        <v>30</v>
      </c>
      <c r="D406">
        <v>1822</v>
      </c>
      <c r="E406" t="s">
        <v>16</v>
      </c>
      <c r="F406" t="s">
        <v>17</v>
      </c>
      <c r="G406" t="s">
        <v>37</v>
      </c>
      <c r="H406" s="1">
        <v>45331</v>
      </c>
      <c r="I406">
        <v>249.05479864498801</v>
      </c>
      <c r="J406">
        <v>7</v>
      </c>
      <c r="K406">
        <v>1743.3835905149101</v>
      </c>
      <c r="L406">
        <v>523.01507715447497</v>
      </c>
      <c r="M406" t="s">
        <v>19</v>
      </c>
      <c r="N406">
        <f>Supermarket_Sales_Case_Study[[#This Row],[Sales_Amount]]-Supermarket_Sales_Case_Study[[#This Row],[Profit]]</f>
        <v>1220.3685133604351</v>
      </c>
      <c r="O406" s="2">
        <f>(Supermarket_Sales_Case_Study[[#This Row],[Sales_Amount]]-Supermarket_Sales_Case_Study[[#This Row],[Purchase]])/Supermarket_Sales_Case_Study[[#This Row],[Sales_Amount]]</f>
        <v>0.3000000000000011</v>
      </c>
      <c r="P406">
        <f>Supermarket_Sales_Case_Study[[#This Row],[Quantity]]*Supermarket_Sales_Case_Study[[#This Row],[Sales_Amount]]</f>
        <v>12203.685133604371</v>
      </c>
    </row>
    <row r="407" spans="1:16" x14ac:dyDescent="0.3">
      <c r="A407" t="s">
        <v>437</v>
      </c>
      <c r="B407" t="s">
        <v>14</v>
      </c>
      <c r="C407" t="s">
        <v>15</v>
      </c>
      <c r="D407">
        <v>2152</v>
      </c>
      <c r="E407" t="s">
        <v>26</v>
      </c>
      <c r="F407" t="s">
        <v>22</v>
      </c>
      <c r="G407" t="s">
        <v>23</v>
      </c>
      <c r="H407" s="1">
        <v>45351</v>
      </c>
      <c r="I407">
        <v>192.711564759194</v>
      </c>
      <c r="J407">
        <v>3</v>
      </c>
      <c r="K407">
        <v>578.134694277584</v>
      </c>
      <c r="L407">
        <v>173.44040828327499</v>
      </c>
      <c r="M407" t="s">
        <v>34</v>
      </c>
      <c r="N407">
        <f>Supermarket_Sales_Case_Study[[#This Row],[Sales_Amount]]-Supermarket_Sales_Case_Study[[#This Row],[Profit]]</f>
        <v>404.69428599430898</v>
      </c>
      <c r="O407" s="2">
        <f>(Supermarket_Sales_Case_Study[[#This Row],[Sales_Amount]]-Supermarket_Sales_Case_Study[[#This Row],[Purchase]])/Supermarket_Sales_Case_Study[[#This Row],[Sales_Amount]]</f>
        <v>0.29999999999999971</v>
      </c>
      <c r="P407">
        <f>Supermarket_Sales_Case_Study[[#This Row],[Quantity]]*Supermarket_Sales_Case_Study[[#This Row],[Sales_Amount]]</f>
        <v>1734.404082832752</v>
      </c>
    </row>
    <row r="408" spans="1:16" x14ac:dyDescent="0.3">
      <c r="A408" t="s">
        <v>438</v>
      </c>
      <c r="B408" t="s">
        <v>21</v>
      </c>
      <c r="C408" t="s">
        <v>36</v>
      </c>
      <c r="D408">
        <v>1048</v>
      </c>
      <c r="E408" t="s">
        <v>26</v>
      </c>
      <c r="F408" t="s">
        <v>17</v>
      </c>
      <c r="G408" t="s">
        <v>28</v>
      </c>
      <c r="H408" s="1">
        <v>45364</v>
      </c>
      <c r="I408">
        <v>258.85491433281999</v>
      </c>
      <c r="J408">
        <v>7</v>
      </c>
      <c r="K408">
        <v>1811.9844003297401</v>
      </c>
      <c r="L408">
        <v>543.595320098922</v>
      </c>
      <c r="M408" t="s">
        <v>34</v>
      </c>
      <c r="N408">
        <f>Supermarket_Sales_Case_Study[[#This Row],[Sales_Amount]]-Supermarket_Sales_Case_Study[[#This Row],[Profit]]</f>
        <v>1268.3890802308181</v>
      </c>
      <c r="O408" s="2">
        <f>(Supermarket_Sales_Case_Study[[#This Row],[Sales_Amount]]-Supermarket_Sales_Case_Study[[#This Row],[Purchase]])/Supermarket_Sales_Case_Study[[#This Row],[Sales_Amount]]</f>
        <v>0.3</v>
      </c>
      <c r="P408">
        <f>Supermarket_Sales_Case_Study[[#This Row],[Quantity]]*Supermarket_Sales_Case_Study[[#This Row],[Sales_Amount]]</f>
        <v>12683.89080230818</v>
      </c>
    </row>
    <row r="409" spans="1:16" x14ac:dyDescent="0.3">
      <c r="A409" t="s">
        <v>439</v>
      </c>
      <c r="B409" t="s">
        <v>39</v>
      </c>
      <c r="C409" t="s">
        <v>36</v>
      </c>
      <c r="D409">
        <v>1788</v>
      </c>
      <c r="E409" t="s">
        <v>26</v>
      </c>
      <c r="F409" t="s">
        <v>22</v>
      </c>
      <c r="G409" t="s">
        <v>33</v>
      </c>
      <c r="H409" s="1">
        <v>45323</v>
      </c>
      <c r="I409">
        <v>237.29399281500201</v>
      </c>
      <c r="J409">
        <v>1</v>
      </c>
      <c r="K409">
        <v>237.29399281500201</v>
      </c>
      <c r="L409">
        <v>71.188197844500607</v>
      </c>
      <c r="M409" t="s">
        <v>19</v>
      </c>
      <c r="N409">
        <f>Supermarket_Sales_Case_Study[[#This Row],[Sales_Amount]]-Supermarket_Sales_Case_Study[[#This Row],[Profit]]</f>
        <v>166.10579497050139</v>
      </c>
      <c r="O409" s="2">
        <f>(Supermarket_Sales_Case_Study[[#This Row],[Sales_Amount]]-Supermarket_Sales_Case_Study[[#This Row],[Purchase]])/Supermarket_Sales_Case_Study[[#This Row],[Sales_Amount]]</f>
        <v>0.30000000000000004</v>
      </c>
      <c r="P409">
        <f>Supermarket_Sales_Case_Study[[#This Row],[Quantity]]*Supermarket_Sales_Case_Study[[#This Row],[Sales_Amount]]</f>
        <v>237.29399281500201</v>
      </c>
    </row>
    <row r="410" spans="1:16" x14ac:dyDescent="0.3">
      <c r="A410" t="s">
        <v>440</v>
      </c>
      <c r="B410" t="s">
        <v>14</v>
      </c>
      <c r="C410" t="s">
        <v>30</v>
      </c>
      <c r="D410">
        <v>1292</v>
      </c>
      <c r="E410" t="s">
        <v>16</v>
      </c>
      <c r="F410" t="s">
        <v>17</v>
      </c>
      <c r="G410" t="s">
        <v>18</v>
      </c>
      <c r="H410" s="1">
        <v>45306</v>
      </c>
      <c r="I410">
        <v>134.40563023385801</v>
      </c>
      <c r="J410">
        <v>9</v>
      </c>
      <c r="K410">
        <v>1209.6506721047199</v>
      </c>
      <c r="L410">
        <v>362.89520163141702</v>
      </c>
      <c r="M410" t="s">
        <v>19</v>
      </c>
      <c r="N410">
        <f>Supermarket_Sales_Case_Study[[#This Row],[Sales_Amount]]-Supermarket_Sales_Case_Study[[#This Row],[Profit]]</f>
        <v>846.75547047330292</v>
      </c>
      <c r="O410" s="2">
        <f>(Supermarket_Sales_Case_Study[[#This Row],[Sales_Amount]]-Supermarket_Sales_Case_Study[[#This Row],[Purchase]])/Supermarket_Sales_Case_Study[[#This Row],[Sales_Amount]]</f>
        <v>0.30000000000000082</v>
      </c>
      <c r="P410">
        <f>Supermarket_Sales_Case_Study[[#This Row],[Quantity]]*Supermarket_Sales_Case_Study[[#This Row],[Sales_Amount]]</f>
        <v>10886.856048942478</v>
      </c>
    </row>
    <row r="411" spans="1:16" x14ac:dyDescent="0.3">
      <c r="A411" t="s">
        <v>441</v>
      </c>
      <c r="B411" t="s">
        <v>39</v>
      </c>
      <c r="C411" t="s">
        <v>36</v>
      </c>
      <c r="D411">
        <v>1535</v>
      </c>
      <c r="E411" t="s">
        <v>26</v>
      </c>
      <c r="F411" t="s">
        <v>17</v>
      </c>
      <c r="G411" t="s">
        <v>23</v>
      </c>
      <c r="H411" s="1">
        <v>45304</v>
      </c>
      <c r="I411">
        <v>68.308894094484003</v>
      </c>
      <c r="J411">
        <v>6</v>
      </c>
      <c r="K411">
        <v>409.85336456690402</v>
      </c>
      <c r="L411">
        <v>122.956009370071</v>
      </c>
      <c r="M411" t="s">
        <v>24</v>
      </c>
      <c r="N411">
        <f>Supermarket_Sales_Case_Study[[#This Row],[Sales_Amount]]-Supermarket_Sales_Case_Study[[#This Row],[Profit]]</f>
        <v>286.89735519683302</v>
      </c>
      <c r="O411" s="2">
        <f>(Supermarket_Sales_Case_Study[[#This Row],[Sales_Amount]]-Supermarket_Sales_Case_Study[[#This Row],[Purchase]])/Supermarket_Sales_Case_Study[[#This Row],[Sales_Amount]]</f>
        <v>0.29999999999999949</v>
      </c>
      <c r="P411">
        <f>Supermarket_Sales_Case_Study[[#This Row],[Quantity]]*Supermarket_Sales_Case_Study[[#This Row],[Sales_Amount]]</f>
        <v>2459.1201874014241</v>
      </c>
    </row>
    <row r="412" spans="1:16" x14ac:dyDescent="0.3">
      <c r="A412" t="s">
        <v>442</v>
      </c>
      <c r="B412" t="s">
        <v>21</v>
      </c>
      <c r="C412" t="s">
        <v>30</v>
      </c>
      <c r="D412">
        <v>1310</v>
      </c>
      <c r="E412" t="s">
        <v>16</v>
      </c>
      <c r="F412" t="s">
        <v>17</v>
      </c>
      <c r="G412" t="s">
        <v>37</v>
      </c>
      <c r="H412" s="1">
        <v>45296</v>
      </c>
      <c r="I412">
        <v>159.11830160270799</v>
      </c>
      <c r="J412">
        <v>5</v>
      </c>
      <c r="K412">
        <v>795.59150801354099</v>
      </c>
      <c r="L412">
        <v>238.677452404062</v>
      </c>
      <c r="M412" t="s">
        <v>19</v>
      </c>
      <c r="N412">
        <f>Supermarket_Sales_Case_Study[[#This Row],[Sales_Amount]]-Supermarket_Sales_Case_Study[[#This Row],[Profit]]</f>
        <v>556.91405560947896</v>
      </c>
      <c r="O412" s="2">
        <f>(Supermarket_Sales_Case_Study[[#This Row],[Sales_Amount]]-Supermarket_Sales_Case_Study[[#This Row],[Purchase]])/Supermarket_Sales_Case_Study[[#This Row],[Sales_Amount]]</f>
        <v>0.29999999999999966</v>
      </c>
      <c r="P412">
        <f>Supermarket_Sales_Case_Study[[#This Row],[Quantity]]*Supermarket_Sales_Case_Study[[#This Row],[Sales_Amount]]</f>
        <v>3977.9575400677049</v>
      </c>
    </row>
    <row r="413" spans="1:16" x14ac:dyDescent="0.3">
      <c r="A413" t="s">
        <v>443</v>
      </c>
      <c r="B413" t="s">
        <v>39</v>
      </c>
      <c r="C413" t="s">
        <v>36</v>
      </c>
      <c r="D413">
        <v>1536</v>
      </c>
      <c r="E413" t="s">
        <v>16</v>
      </c>
      <c r="F413" t="s">
        <v>22</v>
      </c>
      <c r="G413" t="s">
        <v>18</v>
      </c>
      <c r="H413" s="1">
        <v>45366</v>
      </c>
      <c r="I413">
        <v>223.506375933279</v>
      </c>
      <c r="J413">
        <v>7</v>
      </c>
      <c r="K413">
        <v>1564.54463153295</v>
      </c>
      <c r="L413">
        <v>469.363389459887</v>
      </c>
      <c r="M413" t="s">
        <v>34</v>
      </c>
      <c r="N413">
        <f>Supermarket_Sales_Case_Study[[#This Row],[Sales_Amount]]-Supermarket_Sales_Case_Study[[#This Row],[Profit]]</f>
        <v>1095.181242073063</v>
      </c>
      <c r="O413" s="2">
        <f>(Supermarket_Sales_Case_Study[[#This Row],[Sales_Amount]]-Supermarket_Sales_Case_Study[[#This Row],[Purchase]])/Supermarket_Sales_Case_Study[[#This Row],[Sales_Amount]]</f>
        <v>0.30000000000000127</v>
      </c>
      <c r="P413">
        <f>Supermarket_Sales_Case_Study[[#This Row],[Quantity]]*Supermarket_Sales_Case_Study[[#This Row],[Sales_Amount]]</f>
        <v>10951.81242073065</v>
      </c>
    </row>
    <row r="414" spans="1:16" x14ac:dyDescent="0.3">
      <c r="A414" t="s">
        <v>444</v>
      </c>
      <c r="B414" t="s">
        <v>39</v>
      </c>
      <c r="C414" t="s">
        <v>36</v>
      </c>
      <c r="D414">
        <v>1638</v>
      </c>
      <c r="E414" t="s">
        <v>16</v>
      </c>
      <c r="F414" t="s">
        <v>17</v>
      </c>
      <c r="G414" t="s">
        <v>18</v>
      </c>
      <c r="H414" s="1">
        <v>45365</v>
      </c>
      <c r="I414">
        <v>136.56168363158099</v>
      </c>
      <c r="J414">
        <v>5</v>
      </c>
      <c r="K414">
        <v>682.80841815790905</v>
      </c>
      <c r="L414">
        <v>204.842525447372</v>
      </c>
      <c r="M414" t="s">
        <v>24</v>
      </c>
      <c r="N414">
        <f>Supermarket_Sales_Case_Study[[#This Row],[Sales_Amount]]-Supermarket_Sales_Case_Study[[#This Row],[Profit]]</f>
        <v>477.96589271053705</v>
      </c>
      <c r="O414" s="2">
        <f>(Supermarket_Sales_Case_Study[[#This Row],[Sales_Amount]]-Supermarket_Sales_Case_Study[[#This Row],[Purchase]])/Supermarket_Sales_Case_Study[[#This Row],[Sales_Amount]]</f>
        <v>0.29999999999999893</v>
      </c>
      <c r="P414">
        <f>Supermarket_Sales_Case_Study[[#This Row],[Quantity]]*Supermarket_Sales_Case_Study[[#This Row],[Sales_Amount]]</f>
        <v>3414.042090789545</v>
      </c>
    </row>
    <row r="415" spans="1:16" x14ac:dyDescent="0.3">
      <c r="A415" t="s">
        <v>445</v>
      </c>
      <c r="B415" t="s">
        <v>39</v>
      </c>
      <c r="C415" t="s">
        <v>30</v>
      </c>
      <c r="D415">
        <v>1233</v>
      </c>
      <c r="E415" t="s">
        <v>16</v>
      </c>
      <c r="F415" t="s">
        <v>22</v>
      </c>
      <c r="G415" t="s">
        <v>18</v>
      </c>
      <c r="H415" s="1">
        <v>45343</v>
      </c>
      <c r="I415">
        <v>203.36385383733</v>
      </c>
      <c r="J415">
        <v>5</v>
      </c>
      <c r="K415">
        <v>1016.81926918665</v>
      </c>
      <c r="L415">
        <v>305.045780755995</v>
      </c>
      <c r="M415" t="s">
        <v>34</v>
      </c>
      <c r="N415">
        <f>Supermarket_Sales_Case_Study[[#This Row],[Sales_Amount]]-Supermarket_Sales_Case_Study[[#This Row],[Profit]]</f>
        <v>711.77348843065499</v>
      </c>
      <c r="O415" s="2">
        <f>(Supermarket_Sales_Case_Study[[#This Row],[Sales_Amount]]-Supermarket_Sales_Case_Study[[#This Row],[Purchase]])/Supermarket_Sales_Case_Study[[#This Row],[Sales_Amount]]</f>
        <v>0.3</v>
      </c>
      <c r="P415">
        <f>Supermarket_Sales_Case_Study[[#This Row],[Quantity]]*Supermarket_Sales_Case_Study[[#This Row],[Sales_Amount]]</f>
        <v>5084.0963459332497</v>
      </c>
    </row>
    <row r="416" spans="1:16" x14ac:dyDescent="0.3">
      <c r="A416" t="s">
        <v>446</v>
      </c>
      <c r="B416" t="s">
        <v>39</v>
      </c>
      <c r="C416" t="s">
        <v>30</v>
      </c>
      <c r="D416">
        <v>2232</v>
      </c>
      <c r="E416" t="s">
        <v>16</v>
      </c>
      <c r="F416" t="s">
        <v>17</v>
      </c>
      <c r="G416" t="s">
        <v>33</v>
      </c>
      <c r="H416" s="1">
        <v>45368</v>
      </c>
      <c r="I416">
        <v>37.354953624402597</v>
      </c>
      <c r="J416">
        <v>7</v>
      </c>
      <c r="K416">
        <v>261.48467537081802</v>
      </c>
      <c r="L416">
        <v>78.445402611245498</v>
      </c>
      <c r="M416" t="s">
        <v>24</v>
      </c>
      <c r="N416">
        <f>Supermarket_Sales_Case_Study[[#This Row],[Sales_Amount]]-Supermarket_Sales_Case_Study[[#This Row],[Profit]]</f>
        <v>183.03927275957253</v>
      </c>
      <c r="O416" s="2">
        <f>(Supermarket_Sales_Case_Study[[#This Row],[Sales_Amount]]-Supermarket_Sales_Case_Study[[#This Row],[Purchase]])/Supermarket_Sales_Case_Study[[#This Row],[Sales_Amount]]</f>
        <v>0.30000000000000032</v>
      </c>
      <c r="P416">
        <f>Supermarket_Sales_Case_Study[[#This Row],[Quantity]]*Supermarket_Sales_Case_Study[[#This Row],[Sales_Amount]]</f>
        <v>1830.3927275957262</v>
      </c>
    </row>
    <row r="417" spans="1:16" x14ac:dyDescent="0.3">
      <c r="A417" t="s">
        <v>447</v>
      </c>
      <c r="B417" t="s">
        <v>21</v>
      </c>
      <c r="C417" t="s">
        <v>30</v>
      </c>
      <c r="D417">
        <v>1604</v>
      </c>
      <c r="E417" t="s">
        <v>16</v>
      </c>
      <c r="F417" t="s">
        <v>17</v>
      </c>
      <c r="G417" t="s">
        <v>31</v>
      </c>
      <c r="H417" s="1">
        <v>45332</v>
      </c>
      <c r="I417">
        <v>226.92137354770699</v>
      </c>
      <c r="J417">
        <v>7</v>
      </c>
      <c r="K417">
        <v>1588.4496148339399</v>
      </c>
      <c r="L417">
        <v>476.53488445018399</v>
      </c>
      <c r="M417" t="s">
        <v>34</v>
      </c>
      <c r="N417">
        <f>Supermarket_Sales_Case_Study[[#This Row],[Sales_Amount]]-Supermarket_Sales_Case_Study[[#This Row],[Profit]]</f>
        <v>1111.9147303837558</v>
      </c>
      <c r="O417" s="2">
        <f>(Supermarket_Sales_Case_Study[[#This Row],[Sales_Amount]]-Supermarket_Sales_Case_Study[[#This Row],[Purchase]])/Supermarket_Sales_Case_Study[[#This Row],[Sales_Amount]]</f>
        <v>0.30000000000000132</v>
      </c>
      <c r="P417">
        <f>Supermarket_Sales_Case_Study[[#This Row],[Quantity]]*Supermarket_Sales_Case_Study[[#This Row],[Sales_Amount]]</f>
        <v>11119.147303837579</v>
      </c>
    </row>
    <row r="418" spans="1:16" x14ac:dyDescent="0.3">
      <c r="A418" t="s">
        <v>448</v>
      </c>
      <c r="B418" t="s">
        <v>39</v>
      </c>
      <c r="C418" t="s">
        <v>36</v>
      </c>
      <c r="D418">
        <v>1093</v>
      </c>
      <c r="E418" t="s">
        <v>16</v>
      </c>
      <c r="F418" t="s">
        <v>17</v>
      </c>
      <c r="G418" t="s">
        <v>23</v>
      </c>
      <c r="H418" s="1">
        <v>45344</v>
      </c>
      <c r="I418">
        <v>245.68694976898701</v>
      </c>
      <c r="J418">
        <v>3</v>
      </c>
      <c r="K418">
        <v>737.06084930696397</v>
      </c>
      <c r="L418">
        <v>221.118254792089</v>
      </c>
      <c r="M418" t="s">
        <v>19</v>
      </c>
      <c r="N418">
        <f>Supermarket_Sales_Case_Study[[#This Row],[Sales_Amount]]-Supermarket_Sales_Case_Study[[#This Row],[Profit]]</f>
        <v>515.94259451487494</v>
      </c>
      <c r="O418" s="2">
        <f>(Supermarket_Sales_Case_Study[[#This Row],[Sales_Amount]]-Supermarket_Sales_Case_Study[[#This Row],[Purchase]])/Supermarket_Sales_Case_Study[[#This Row],[Sales_Amount]]</f>
        <v>0.29999999999999977</v>
      </c>
      <c r="P418">
        <f>Supermarket_Sales_Case_Study[[#This Row],[Quantity]]*Supermarket_Sales_Case_Study[[#This Row],[Sales_Amount]]</f>
        <v>2211.1825479208919</v>
      </c>
    </row>
    <row r="419" spans="1:16" x14ac:dyDescent="0.3">
      <c r="A419" t="s">
        <v>449</v>
      </c>
      <c r="B419" t="s">
        <v>39</v>
      </c>
      <c r="C419" t="s">
        <v>36</v>
      </c>
      <c r="D419">
        <v>1326</v>
      </c>
      <c r="E419" t="s">
        <v>26</v>
      </c>
      <c r="F419" t="s">
        <v>17</v>
      </c>
      <c r="G419" t="s">
        <v>31</v>
      </c>
      <c r="H419" s="1">
        <v>45341</v>
      </c>
      <c r="I419">
        <v>214.982978176356</v>
      </c>
      <c r="J419">
        <v>3</v>
      </c>
      <c r="K419">
        <v>644.94893452907002</v>
      </c>
      <c r="L419">
        <v>193.48468035872099</v>
      </c>
      <c r="M419" t="s">
        <v>34</v>
      </c>
      <c r="N419">
        <f>Supermarket_Sales_Case_Study[[#This Row],[Sales_Amount]]-Supermarket_Sales_Case_Study[[#This Row],[Profit]]</f>
        <v>451.46425417034902</v>
      </c>
      <c r="O419" s="2">
        <f>(Supermarket_Sales_Case_Study[[#This Row],[Sales_Amount]]-Supermarket_Sales_Case_Study[[#This Row],[Purchase]])/Supermarket_Sales_Case_Study[[#This Row],[Sales_Amount]]</f>
        <v>0.3</v>
      </c>
      <c r="P419">
        <f>Supermarket_Sales_Case_Study[[#This Row],[Quantity]]*Supermarket_Sales_Case_Study[[#This Row],[Sales_Amount]]</f>
        <v>1934.8468035872102</v>
      </c>
    </row>
    <row r="420" spans="1:16" x14ac:dyDescent="0.3">
      <c r="A420" t="s">
        <v>450</v>
      </c>
      <c r="B420" t="s">
        <v>14</v>
      </c>
      <c r="C420" t="s">
        <v>15</v>
      </c>
      <c r="D420">
        <v>1224</v>
      </c>
      <c r="E420" t="s">
        <v>26</v>
      </c>
      <c r="F420" t="s">
        <v>17</v>
      </c>
      <c r="G420" t="s">
        <v>31</v>
      </c>
      <c r="H420" s="1">
        <v>45306</v>
      </c>
      <c r="I420">
        <v>290.50644038264602</v>
      </c>
      <c r="J420">
        <v>3</v>
      </c>
      <c r="K420">
        <v>871.51932114793794</v>
      </c>
      <c r="L420">
        <v>261.45579634438099</v>
      </c>
      <c r="M420" t="s">
        <v>24</v>
      </c>
      <c r="N420">
        <f>Supermarket_Sales_Case_Study[[#This Row],[Sales_Amount]]-Supermarket_Sales_Case_Study[[#This Row],[Profit]]</f>
        <v>610.0635248035569</v>
      </c>
      <c r="O420" s="2">
        <f>(Supermarket_Sales_Case_Study[[#This Row],[Sales_Amount]]-Supermarket_Sales_Case_Study[[#This Row],[Purchase]])/Supermarket_Sales_Case_Study[[#This Row],[Sales_Amount]]</f>
        <v>0.2999999999999996</v>
      </c>
      <c r="P420">
        <f>Supermarket_Sales_Case_Study[[#This Row],[Quantity]]*Supermarket_Sales_Case_Study[[#This Row],[Sales_Amount]]</f>
        <v>2614.5579634438136</v>
      </c>
    </row>
    <row r="421" spans="1:16" x14ac:dyDescent="0.3">
      <c r="A421" t="s">
        <v>451</v>
      </c>
      <c r="B421" t="s">
        <v>39</v>
      </c>
      <c r="C421" t="s">
        <v>30</v>
      </c>
      <c r="D421">
        <v>1966</v>
      </c>
      <c r="E421" t="s">
        <v>16</v>
      </c>
      <c r="F421" t="s">
        <v>22</v>
      </c>
      <c r="G421" t="s">
        <v>31</v>
      </c>
      <c r="H421" s="1">
        <v>45298</v>
      </c>
      <c r="I421">
        <v>249.72909666358501</v>
      </c>
      <c r="J421">
        <v>6</v>
      </c>
      <c r="K421">
        <v>1498.3745799815099</v>
      </c>
      <c r="L421">
        <v>449.51237399445398</v>
      </c>
      <c r="M421" t="s">
        <v>34</v>
      </c>
      <c r="N421">
        <f>Supermarket_Sales_Case_Study[[#This Row],[Sales_Amount]]-Supermarket_Sales_Case_Study[[#This Row],[Profit]]</f>
        <v>1048.8622059870559</v>
      </c>
      <c r="O421" s="2">
        <f>(Supermarket_Sales_Case_Study[[#This Row],[Sales_Amount]]-Supermarket_Sales_Case_Study[[#This Row],[Purchase]])/Supermarket_Sales_Case_Study[[#This Row],[Sales_Amount]]</f>
        <v>0.30000000000000071</v>
      </c>
      <c r="P421">
        <f>Supermarket_Sales_Case_Study[[#This Row],[Quantity]]*Supermarket_Sales_Case_Study[[#This Row],[Sales_Amount]]</f>
        <v>8990.2474798890598</v>
      </c>
    </row>
    <row r="422" spans="1:16" x14ac:dyDescent="0.3">
      <c r="A422" t="s">
        <v>452</v>
      </c>
      <c r="B422" t="s">
        <v>14</v>
      </c>
      <c r="C422" t="s">
        <v>36</v>
      </c>
      <c r="D422">
        <v>1889</v>
      </c>
      <c r="E422" t="s">
        <v>16</v>
      </c>
      <c r="F422" t="s">
        <v>22</v>
      </c>
      <c r="G422" t="s">
        <v>18</v>
      </c>
      <c r="H422" s="1">
        <v>45331</v>
      </c>
      <c r="I422">
        <v>271.89718108419601</v>
      </c>
      <c r="J422">
        <v>6</v>
      </c>
      <c r="K422">
        <v>1631.38308650517</v>
      </c>
      <c r="L422">
        <v>489.41492595155302</v>
      </c>
      <c r="M422" t="s">
        <v>24</v>
      </c>
      <c r="N422">
        <f>Supermarket_Sales_Case_Study[[#This Row],[Sales_Amount]]-Supermarket_Sales_Case_Study[[#This Row],[Profit]]</f>
        <v>1141.9681605536171</v>
      </c>
      <c r="O422" s="2">
        <f>(Supermarket_Sales_Case_Study[[#This Row],[Sales_Amount]]-Supermarket_Sales_Case_Study[[#This Row],[Purchase]])/Supermarket_Sales_Case_Study[[#This Row],[Sales_Amount]]</f>
        <v>0.30000000000000121</v>
      </c>
      <c r="P422">
        <f>Supermarket_Sales_Case_Study[[#This Row],[Quantity]]*Supermarket_Sales_Case_Study[[#This Row],[Sales_Amount]]</f>
        <v>9788.298519031021</v>
      </c>
    </row>
    <row r="423" spans="1:16" x14ac:dyDescent="0.3">
      <c r="A423" t="s">
        <v>453</v>
      </c>
      <c r="B423" t="s">
        <v>21</v>
      </c>
      <c r="C423" t="s">
        <v>36</v>
      </c>
      <c r="D423">
        <v>1010</v>
      </c>
      <c r="E423" t="s">
        <v>26</v>
      </c>
      <c r="F423" t="s">
        <v>17</v>
      </c>
      <c r="G423" t="s">
        <v>28</v>
      </c>
      <c r="H423" s="1">
        <v>45319</v>
      </c>
      <c r="I423">
        <v>280.73561420271699</v>
      </c>
      <c r="J423">
        <v>3</v>
      </c>
      <c r="K423">
        <v>842.20684260815301</v>
      </c>
      <c r="L423">
        <v>252.66205278244601</v>
      </c>
      <c r="M423" t="s">
        <v>34</v>
      </c>
      <c r="N423">
        <f>Supermarket_Sales_Case_Study[[#This Row],[Sales_Amount]]-Supermarket_Sales_Case_Study[[#This Row],[Profit]]</f>
        <v>589.54478982570697</v>
      </c>
      <c r="O423" s="2">
        <f>(Supermarket_Sales_Case_Study[[#This Row],[Sales_Amount]]-Supermarket_Sales_Case_Study[[#This Row],[Purchase]])/Supermarket_Sales_Case_Study[[#This Row],[Sales_Amount]]</f>
        <v>0.30000000000000016</v>
      </c>
      <c r="P423">
        <f>Supermarket_Sales_Case_Study[[#This Row],[Quantity]]*Supermarket_Sales_Case_Study[[#This Row],[Sales_Amount]]</f>
        <v>2526.6205278244588</v>
      </c>
    </row>
    <row r="424" spans="1:16" x14ac:dyDescent="0.3">
      <c r="A424" t="s">
        <v>454</v>
      </c>
      <c r="B424" t="s">
        <v>21</v>
      </c>
      <c r="C424" t="s">
        <v>30</v>
      </c>
      <c r="D424">
        <v>2352</v>
      </c>
      <c r="E424" t="s">
        <v>16</v>
      </c>
      <c r="F424" t="s">
        <v>17</v>
      </c>
      <c r="G424" t="s">
        <v>18</v>
      </c>
      <c r="H424" s="1">
        <v>45323</v>
      </c>
      <c r="I424">
        <v>242.39091764340401</v>
      </c>
      <c r="J424">
        <v>3</v>
      </c>
      <c r="K424">
        <v>727.17275293021305</v>
      </c>
      <c r="L424">
        <v>218.15182587906401</v>
      </c>
      <c r="M424" t="s">
        <v>19</v>
      </c>
      <c r="N424">
        <f>Supermarket_Sales_Case_Study[[#This Row],[Sales_Amount]]-Supermarket_Sales_Case_Study[[#This Row],[Profit]]</f>
        <v>509.02092705114904</v>
      </c>
      <c r="O424" s="2">
        <f>(Supermarket_Sales_Case_Study[[#This Row],[Sales_Amount]]-Supermarket_Sales_Case_Study[[#This Row],[Purchase]])/Supermarket_Sales_Case_Study[[#This Row],[Sales_Amount]]</f>
        <v>0.3000000000000001</v>
      </c>
      <c r="P424">
        <f>Supermarket_Sales_Case_Study[[#This Row],[Quantity]]*Supermarket_Sales_Case_Study[[#This Row],[Sales_Amount]]</f>
        <v>2181.5182587906393</v>
      </c>
    </row>
    <row r="425" spans="1:16" x14ac:dyDescent="0.3">
      <c r="A425" t="s">
        <v>455</v>
      </c>
      <c r="B425" t="s">
        <v>21</v>
      </c>
      <c r="C425" t="s">
        <v>15</v>
      </c>
      <c r="D425">
        <v>2035</v>
      </c>
      <c r="E425" t="s">
        <v>26</v>
      </c>
      <c r="F425" t="s">
        <v>17</v>
      </c>
      <c r="G425" t="s">
        <v>18</v>
      </c>
      <c r="H425" s="1">
        <v>45306</v>
      </c>
      <c r="I425">
        <v>205.535064181884</v>
      </c>
      <c r="J425">
        <v>8</v>
      </c>
      <c r="K425">
        <v>1644.2805134550699</v>
      </c>
      <c r="L425">
        <v>493.28415403652298</v>
      </c>
      <c r="M425" t="s">
        <v>19</v>
      </c>
      <c r="N425">
        <f>Supermarket_Sales_Case_Study[[#This Row],[Sales_Amount]]-Supermarket_Sales_Case_Study[[#This Row],[Profit]]</f>
        <v>1150.9963594185469</v>
      </c>
      <c r="O425" s="2">
        <f>(Supermarket_Sales_Case_Study[[#This Row],[Sales_Amount]]-Supermarket_Sales_Case_Study[[#This Row],[Purchase]])/Supermarket_Sales_Case_Study[[#This Row],[Sales_Amount]]</f>
        <v>0.30000000000000121</v>
      </c>
      <c r="P425">
        <f>Supermarket_Sales_Case_Study[[#This Row],[Quantity]]*Supermarket_Sales_Case_Study[[#This Row],[Sales_Amount]]</f>
        <v>13154.244107640559</v>
      </c>
    </row>
    <row r="426" spans="1:16" x14ac:dyDescent="0.3">
      <c r="A426" t="s">
        <v>456</v>
      </c>
      <c r="B426" t="s">
        <v>21</v>
      </c>
      <c r="C426" t="s">
        <v>30</v>
      </c>
      <c r="D426">
        <v>1034</v>
      </c>
      <c r="E426" t="s">
        <v>26</v>
      </c>
      <c r="F426" t="s">
        <v>17</v>
      </c>
      <c r="G426" t="s">
        <v>37</v>
      </c>
      <c r="H426" s="1">
        <v>45376</v>
      </c>
      <c r="I426">
        <v>11.6583885946288</v>
      </c>
      <c r="J426">
        <v>8</v>
      </c>
      <c r="K426">
        <v>93.267108757031096</v>
      </c>
      <c r="L426">
        <v>27.980132627109299</v>
      </c>
      <c r="M426" t="s">
        <v>34</v>
      </c>
      <c r="N426">
        <f>Supermarket_Sales_Case_Study[[#This Row],[Sales_Amount]]-Supermarket_Sales_Case_Study[[#This Row],[Profit]]</f>
        <v>65.286976129921797</v>
      </c>
      <c r="O426" s="2">
        <f>(Supermarket_Sales_Case_Study[[#This Row],[Sales_Amount]]-Supermarket_Sales_Case_Study[[#This Row],[Purchase]])/Supermarket_Sales_Case_Study[[#This Row],[Sales_Amount]]</f>
        <v>0.29999999999999966</v>
      </c>
      <c r="P426">
        <f>Supermarket_Sales_Case_Study[[#This Row],[Quantity]]*Supermarket_Sales_Case_Study[[#This Row],[Sales_Amount]]</f>
        <v>746.13687005624877</v>
      </c>
    </row>
    <row r="427" spans="1:16" x14ac:dyDescent="0.3">
      <c r="A427" t="s">
        <v>457</v>
      </c>
      <c r="B427" t="s">
        <v>14</v>
      </c>
      <c r="C427" t="s">
        <v>15</v>
      </c>
      <c r="D427">
        <v>1446</v>
      </c>
      <c r="E427" t="s">
        <v>26</v>
      </c>
      <c r="F427" t="s">
        <v>22</v>
      </c>
      <c r="G427" t="s">
        <v>37</v>
      </c>
      <c r="H427" s="1">
        <v>45361</v>
      </c>
      <c r="I427">
        <v>145.08946843470599</v>
      </c>
      <c r="J427">
        <v>7</v>
      </c>
      <c r="K427">
        <v>1015.62627904294</v>
      </c>
      <c r="L427">
        <v>304.68788371288201</v>
      </c>
      <c r="M427" t="s">
        <v>34</v>
      </c>
      <c r="N427">
        <f>Supermarket_Sales_Case_Study[[#This Row],[Sales_Amount]]-Supermarket_Sales_Case_Study[[#This Row],[Profit]]</f>
        <v>710.93839533005803</v>
      </c>
      <c r="O427" s="2">
        <f>(Supermarket_Sales_Case_Study[[#This Row],[Sales_Amount]]-Supermarket_Sales_Case_Study[[#This Row],[Purchase]])/Supermarket_Sales_Case_Study[[#This Row],[Sales_Amount]]</f>
        <v>0.3</v>
      </c>
      <c r="P427">
        <f>Supermarket_Sales_Case_Study[[#This Row],[Quantity]]*Supermarket_Sales_Case_Study[[#This Row],[Sales_Amount]]</f>
        <v>7109.3839533005803</v>
      </c>
    </row>
    <row r="428" spans="1:16" x14ac:dyDescent="0.3">
      <c r="A428" t="s">
        <v>458</v>
      </c>
      <c r="B428" t="s">
        <v>39</v>
      </c>
      <c r="C428" t="s">
        <v>36</v>
      </c>
      <c r="D428">
        <v>2475</v>
      </c>
      <c r="E428" t="s">
        <v>16</v>
      </c>
      <c r="F428" t="s">
        <v>17</v>
      </c>
      <c r="G428" t="s">
        <v>31</v>
      </c>
      <c r="H428" s="1">
        <v>45356</v>
      </c>
      <c r="I428">
        <v>175.63706660048399</v>
      </c>
      <c r="J428">
        <v>4</v>
      </c>
      <c r="K428">
        <v>702.54826640193801</v>
      </c>
      <c r="L428">
        <v>210.76447992058101</v>
      </c>
      <c r="M428" t="s">
        <v>34</v>
      </c>
      <c r="N428">
        <f>Supermarket_Sales_Case_Study[[#This Row],[Sales_Amount]]-Supermarket_Sales_Case_Study[[#This Row],[Profit]]</f>
        <v>491.78378648135697</v>
      </c>
      <c r="O428" s="2">
        <f>(Supermarket_Sales_Case_Study[[#This Row],[Sales_Amount]]-Supermarket_Sales_Case_Study[[#This Row],[Purchase]])/Supermarket_Sales_Case_Study[[#This Row],[Sales_Amount]]</f>
        <v>0.29999999999999949</v>
      </c>
      <c r="P428">
        <f>Supermarket_Sales_Case_Study[[#This Row],[Quantity]]*Supermarket_Sales_Case_Study[[#This Row],[Sales_Amount]]</f>
        <v>2810.193065607752</v>
      </c>
    </row>
    <row r="429" spans="1:16" x14ac:dyDescent="0.3">
      <c r="A429" t="s">
        <v>459</v>
      </c>
      <c r="B429" t="s">
        <v>21</v>
      </c>
      <c r="C429" t="s">
        <v>15</v>
      </c>
      <c r="D429">
        <v>2243</v>
      </c>
      <c r="E429" t="s">
        <v>16</v>
      </c>
      <c r="F429" t="s">
        <v>22</v>
      </c>
      <c r="G429" t="s">
        <v>18</v>
      </c>
      <c r="H429" s="1">
        <v>45295</v>
      </c>
      <c r="I429">
        <v>98.168779009919803</v>
      </c>
      <c r="J429">
        <v>4</v>
      </c>
      <c r="K429">
        <v>392.67511603967898</v>
      </c>
      <c r="L429">
        <v>117.802534811903</v>
      </c>
      <c r="M429" t="s">
        <v>24</v>
      </c>
      <c r="N429">
        <f>Supermarket_Sales_Case_Study[[#This Row],[Sales_Amount]]-Supermarket_Sales_Case_Study[[#This Row],[Profit]]</f>
        <v>274.87258122777598</v>
      </c>
      <c r="O429" s="2">
        <f>(Supermarket_Sales_Case_Study[[#This Row],[Sales_Amount]]-Supermarket_Sales_Case_Study[[#This Row],[Purchase]])/Supermarket_Sales_Case_Study[[#This Row],[Sales_Amount]]</f>
        <v>0.29999999999999821</v>
      </c>
      <c r="P429">
        <f>Supermarket_Sales_Case_Study[[#This Row],[Quantity]]*Supermarket_Sales_Case_Study[[#This Row],[Sales_Amount]]</f>
        <v>1570.7004641587159</v>
      </c>
    </row>
    <row r="430" spans="1:16" x14ac:dyDescent="0.3">
      <c r="A430" t="s">
        <v>460</v>
      </c>
      <c r="B430" t="s">
        <v>39</v>
      </c>
      <c r="C430" t="s">
        <v>36</v>
      </c>
      <c r="D430">
        <v>1440</v>
      </c>
      <c r="E430" t="s">
        <v>26</v>
      </c>
      <c r="F430" t="s">
        <v>17</v>
      </c>
      <c r="G430" t="s">
        <v>31</v>
      </c>
      <c r="H430" s="1">
        <v>45302</v>
      </c>
      <c r="I430">
        <v>102.25028960200601</v>
      </c>
      <c r="J430">
        <v>3</v>
      </c>
      <c r="K430">
        <v>306.75086880601998</v>
      </c>
      <c r="L430">
        <v>92.025260641806199</v>
      </c>
      <c r="M430" t="s">
        <v>34</v>
      </c>
      <c r="N430">
        <f>Supermarket_Sales_Case_Study[[#This Row],[Sales_Amount]]-Supermarket_Sales_Case_Study[[#This Row],[Profit]]</f>
        <v>214.72560816421378</v>
      </c>
      <c r="O430" s="2">
        <f>(Supermarket_Sales_Case_Study[[#This Row],[Sales_Amount]]-Supermarket_Sales_Case_Study[[#This Row],[Purchase]])/Supermarket_Sales_Case_Study[[#This Row],[Sales_Amount]]</f>
        <v>0.30000000000000066</v>
      </c>
      <c r="P430">
        <f>Supermarket_Sales_Case_Study[[#This Row],[Quantity]]*Supermarket_Sales_Case_Study[[#This Row],[Sales_Amount]]</f>
        <v>920.25260641805994</v>
      </c>
    </row>
    <row r="431" spans="1:16" x14ac:dyDescent="0.3">
      <c r="A431" t="s">
        <v>461</v>
      </c>
      <c r="B431" t="s">
        <v>14</v>
      </c>
      <c r="C431" t="s">
        <v>30</v>
      </c>
      <c r="D431">
        <v>1652</v>
      </c>
      <c r="E431" t="s">
        <v>26</v>
      </c>
      <c r="F431" t="s">
        <v>22</v>
      </c>
      <c r="G431" t="s">
        <v>37</v>
      </c>
      <c r="H431" s="1">
        <v>45317</v>
      </c>
      <c r="I431">
        <v>288.73623055594697</v>
      </c>
      <c r="J431">
        <v>5</v>
      </c>
      <c r="K431">
        <v>1443.6811527797299</v>
      </c>
      <c r="L431">
        <v>433.104345833921</v>
      </c>
      <c r="M431" t="s">
        <v>34</v>
      </c>
      <c r="N431">
        <f>Supermarket_Sales_Case_Study[[#This Row],[Sales_Amount]]-Supermarket_Sales_Case_Study[[#This Row],[Profit]]</f>
        <v>1010.5768069458089</v>
      </c>
      <c r="O431" s="2">
        <f>(Supermarket_Sales_Case_Study[[#This Row],[Sales_Amount]]-Supermarket_Sales_Case_Study[[#This Row],[Purchase]])/Supermarket_Sales_Case_Study[[#This Row],[Sales_Amount]]</f>
        <v>0.30000000000000138</v>
      </c>
      <c r="P431">
        <f>Supermarket_Sales_Case_Study[[#This Row],[Quantity]]*Supermarket_Sales_Case_Study[[#This Row],[Sales_Amount]]</f>
        <v>7218.4057638986496</v>
      </c>
    </row>
    <row r="432" spans="1:16" x14ac:dyDescent="0.3">
      <c r="A432" t="s">
        <v>462</v>
      </c>
      <c r="B432" t="s">
        <v>14</v>
      </c>
      <c r="C432" t="s">
        <v>30</v>
      </c>
      <c r="D432">
        <v>1594</v>
      </c>
      <c r="E432" t="s">
        <v>26</v>
      </c>
      <c r="F432" t="s">
        <v>17</v>
      </c>
      <c r="G432" t="s">
        <v>28</v>
      </c>
      <c r="H432" s="1">
        <v>45352</v>
      </c>
      <c r="I432">
        <v>268.59615090879601</v>
      </c>
      <c r="J432">
        <v>3</v>
      </c>
      <c r="K432">
        <v>805.78845272638796</v>
      </c>
      <c r="L432">
        <v>241.73653581791601</v>
      </c>
      <c r="M432" t="s">
        <v>24</v>
      </c>
      <c r="N432">
        <f>Supermarket_Sales_Case_Study[[#This Row],[Sales_Amount]]-Supermarket_Sales_Case_Study[[#This Row],[Profit]]</f>
        <v>564.05191690847198</v>
      </c>
      <c r="O432" s="2">
        <f>(Supermarket_Sales_Case_Study[[#This Row],[Sales_Amount]]-Supermarket_Sales_Case_Study[[#This Row],[Purchase]])/Supermarket_Sales_Case_Study[[#This Row],[Sales_Amount]]</f>
        <v>0.29999999999999949</v>
      </c>
      <c r="P432">
        <f>Supermarket_Sales_Case_Study[[#This Row],[Quantity]]*Supermarket_Sales_Case_Study[[#This Row],[Sales_Amount]]</f>
        <v>2417.3653581791641</v>
      </c>
    </row>
    <row r="433" spans="1:16" x14ac:dyDescent="0.3">
      <c r="A433" t="s">
        <v>463</v>
      </c>
      <c r="B433" t="s">
        <v>14</v>
      </c>
      <c r="C433" t="s">
        <v>30</v>
      </c>
      <c r="D433">
        <v>1228</v>
      </c>
      <c r="E433" t="s">
        <v>26</v>
      </c>
      <c r="F433" t="s">
        <v>17</v>
      </c>
      <c r="G433" t="s">
        <v>23</v>
      </c>
      <c r="H433" s="1">
        <v>45328</v>
      </c>
      <c r="I433">
        <v>256.26191159549398</v>
      </c>
      <c r="J433">
        <v>8</v>
      </c>
      <c r="K433">
        <v>2050.0952927639501</v>
      </c>
      <c r="L433">
        <v>615.02858782918599</v>
      </c>
      <c r="M433" t="s">
        <v>19</v>
      </c>
      <c r="N433">
        <f>Supermarket_Sales_Case_Study[[#This Row],[Sales_Amount]]-Supermarket_Sales_Case_Study[[#This Row],[Profit]]</f>
        <v>1435.0667049347639</v>
      </c>
      <c r="O433" s="2">
        <f>(Supermarket_Sales_Case_Study[[#This Row],[Sales_Amount]]-Supermarket_Sales_Case_Study[[#This Row],[Purchase]])/Supermarket_Sales_Case_Study[[#This Row],[Sales_Amount]]</f>
        <v>0.30000000000000054</v>
      </c>
      <c r="P433">
        <f>Supermarket_Sales_Case_Study[[#This Row],[Quantity]]*Supermarket_Sales_Case_Study[[#This Row],[Sales_Amount]]</f>
        <v>16400.7623421116</v>
      </c>
    </row>
    <row r="434" spans="1:16" x14ac:dyDescent="0.3">
      <c r="A434" t="s">
        <v>464</v>
      </c>
      <c r="B434" t="s">
        <v>21</v>
      </c>
      <c r="C434" t="s">
        <v>15</v>
      </c>
      <c r="D434">
        <v>1343</v>
      </c>
      <c r="E434" t="s">
        <v>26</v>
      </c>
      <c r="F434" t="s">
        <v>22</v>
      </c>
      <c r="G434" t="s">
        <v>31</v>
      </c>
      <c r="H434" s="1">
        <v>45314</v>
      </c>
      <c r="I434">
        <v>127.74342249477201</v>
      </c>
      <c r="J434">
        <v>7</v>
      </c>
      <c r="K434">
        <v>894.20395746340398</v>
      </c>
      <c r="L434">
        <v>268.26118723902101</v>
      </c>
      <c r="M434" t="s">
        <v>34</v>
      </c>
      <c r="N434">
        <f>Supermarket_Sales_Case_Study[[#This Row],[Sales_Amount]]-Supermarket_Sales_Case_Study[[#This Row],[Profit]]</f>
        <v>625.94277022438291</v>
      </c>
      <c r="O434" s="2">
        <f>(Supermarket_Sales_Case_Study[[#This Row],[Sales_Amount]]-Supermarket_Sales_Case_Study[[#This Row],[Purchase]])/Supermarket_Sales_Case_Study[[#This Row],[Sales_Amount]]</f>
        <v>0.29999999999999988</v>
      </c>
      <c r="P434">
        <f>Supermarket_Sales_Case_Study[[#This Row],[Quantity]]*Supermarket_Sales_Case_Study[[#This Row],[Sales_Amount]]</f>
        <v>6259.4277022438282</v>
      </c>
    </row>
    <row r="435" spans="1:16" x14ac:dyDescent="0.3">
      <c r="A435" t="s">
        <v>465</v>
      </c>
      <c r="B435" t="s">
        <v>39</v>
      </c>
      <c r="C435" t="s">
        <v>36</v>
      </c>
      <c r="D435">
        <v>2103</v>
      </c>
      <c r="E435" t="s">
        <v>16</v>
      </c>
      <c r="F435" t="s">
        <v>17</v>
      </c>
      <c r="G435" t="s">
        <v>28</v>
      </c>
      <c r="H435" s="1">
        <v>45376</v>
      </c>
      <c r="I435">
        <v>13.9725796185852</v>
      </c>
      <c r="J435">
        <v>3</v>
      </c>
      <c r="K435">
        <v>41.917738855755601</v>
      </c>
      <c r="L435">
        <v>12.575321656726601</v>
      </c>
      <c r="M435" t="s">
        <v>34</v>
      </c>
      <c r="N435">
        <f>Supermarket_Sales_Case_Study[[#This Row],[Sales_Amount]]-Supermarket_Sales_Case_Study[[#This Row],[Profit]]</f>
        <v>29.342417199029001</v>
      </c>
      <c r="O435" s="2">
        <f>(Supermarket_Sales_Case_Study[[#This Row],[Sales_Amount]]-Supermarket_Sales_Case_Study[[#This Row],[Purchase]])/Supermarket_Sales_Case_Study[[#This Row],[Sales_Amount]]</f>
        <v>0.2999999999999981</v>
      </c>
      <c r="P435">
        <f>Supermarket_Sales_Case_Study[[#This Row],[Quantity]]*Supermarket_Sales_Case_Study[[#This Row],[Sales_Amount]]</f>
        <v>125.7532165672668</v>
      </c>
    </row>
    <row r="436" spans="1:16" x14ac:dyDescent="0.3">
      <c r="A436" t="s">
        <v>466</v>
      </c>
      <c r="B436" t="s">
        <v>39</v>
      </c>
      <c r="C436" t="s">
        <v>30</v>
      </c>
      <c r="D436">
        <v>2376</v>
      </c>
      <c r="E436" t="s">
        <v>26</v>
      </c>
      <c r="F436" t="s">
        <v>17</v>
      </c>
      <c r="G436" t="s">
        <v>23</v>
      </c>
      <c r="H436" s="1">
        <v>45331</v>
      </c>
      <c r="I436">
        <v>33.264451472156999</v>
      </c>
      <c r="J436">
        <v>9</v>
      </c>
      <c r="K436">
        <v>299.38006324941301</v>
      </c>
      <c r="L436">
        <v>89.814018974824094</v>
      </c>
      <c r="M436" t="s">
        <v>19</v>
      </c>
      <c r="N436">
        <f>Supermarket_Sales_Case_Study[[#This Row],[Sales_Amount]]-Supermarket_Sales_Case_Study[[#This Row],[Profit]]</f>
        <v>209.56604427458893</v>
      </c>
      <c r="O436" s="2">
        <f>(Supermarket_Sales_Case_Study[[#This Row],[Sales_Amount]]-Supermarket_Sales_Case_Study[[#This Row],[Purchase]])/Supermarket_Sales_Case_Study[[#This Row],[Sales_Amount]]</f>
        <v>0.3000000000000006</v>
      </c>
      <c r="P436">
        <f>Supermarket_Sales_Case_Study[[#This Row],[Quantity]]*Supermarket_Sales_Case_Study[[#This Row],[Sales_Amount]]</f>
        <v>2694.4205692447172</v>
      </c>
    </row>
    <row r="437" spans="1:16" x14ac:dyDescent="0.3">
      <c r="A437" t="s">
        <v>467</v>
      </c>
      <c r="B437" t="s">
        <v>39</v>
      </c>
      <c r="C437" t="s">
        <v>30</v>
      </c>
      <c r="D437">
        <v>2419</v>
      </c>
      <c r="E437" t="s">
        <v>16</v>
      </c>
      <c r="F437" t="s">
        <v>17</v>
      </c>
      <c r="G437" t="s">
        <v>33</v>
      </c>
      <c r="H437" s="1">
        <v>45368</v>
      </c>
      <c r="I437">
        <v>100.53694678310499</v>
      </c>
      <c r="J437">
        <v>5</v>
      </c>
      <c r="K437">
        <v>502.68473391552499</v>
      </c>
      <c r="L437">
        <v>150.805420174657</v>
      </c>
      <c r="M437" t="s">
        <v>19</v>
      </c>
      <c r="N437">
        <f>Supermarket_Sales_Case_Study[[#This Row],[Sales_Amount]]-Supermarket_Sales_Case_Study[[#This Row],[Profit]]</f>
        <v>351.87931374086799</v>
      </c>
      <c r="O437" s="2">
        <f>(Supermarket_Sales_Case_Study[[#This Row],[Sales_Amount]]-Supermarket_Sales_Case_Study[[#This Row],[Purchase]])/Supermarket_Sales_Case_Study[[#This Row],[Sales_Amount]]</f>
        <v>0.29999999999999899</v>
      </c>
      <c r="P437">
        <f>Supermarket_Sales_Case_Study[[#This Row],[Quantity]]*Supermarket_Sales_Case_Study[[#This Row],[Sales_Amount]]</f>
        <v>2513.4236695776249</v>
      </c>
    </row>
    <row r="438" spans="1:16" x14ac:dyDescent="0.3">
      <c r="A438" t="s">
        <v>468</v>
      </c>
      <c r="B438" t="s">
        <v>14</v>
      </c>
      <c r="C438" t="s">
        <v>36</v>
      </c>
      <c r="D438">
        <v>2313</v>
      </c>
      <c r="E438" t="s">
        <v>26</v>
      </c>
      <c r="F438" t="s">
        <v>22</v>
      </c>
      <c r="G438" t="s">
        <v>31</v>
      </c>
      <c r="H438" s="1">
        <v>45314</v>
      </c>
      <c r="I438">
        <v>14.5654447687463</v>
      </c>
      <c r="J438">
        <v>9</v>
      </c>
      <c r="K438">
        <v>131.08900291871601</v>
      </c>
      <c r="L438">
        <v>39.326700875615003</v>
      </c>
      <c r="M438" t="s">
        <v>24</v>
      </c>
      <c r="N438">
        <f>Supermarket_Sales_Case_Study[[#This Row],[Sales_Amount]]-Supermarket_Sales_Case_Study[[#This Row],[Profit]]</f>
        <v>91.762302043101002</v>
      </c>
      <c r="O438" s="2">
        <f>(Supermarket_Sales_Case_Study[[#This Row],[Sales_Amount]]-Supermarket_Sales_Case_Study[[#This Row],[Purchase]])/Supermarket_Sales_Case_Study[[#This Row],[Sales_Amount]]</f>
        <v>0.30000000000000154</v>
      </c>
      <c r="P438">
        <f>Supermarket_Sales_Case_Study[[#This Row],[Quantity]]*Supermarket_Sales_Case_Study[[#This Row],[Sales_Amount]]</f>
        <v>1179.801026268444</v>
      </c>
    </row>
    <row r="439" spans="1:16" x14ac:dyDescent="0.3">
      <c r="A439" t="s">
        <v>469</v>
      </c>
      <c r="B439" t="s">
        <v>21</v>
      </c>
      <c r="C439" t="s">
        <v>30</v>
      </c>
      <c r="D439">
        <v>2478</v>
      </c>
      <c r="E439" t="s">
        <v>16</v>
      </c>
      <c r="F439" t="s">
        <v>17</v>
      </c>
      <c r="G439" t="s">
        <v>31</v>
      </c>
      <c r="H439" s="1">
        <v>45307</v>
      </c>
      <c r="I439">
        <v>14.9734367554074</v>
      </c>
      <c r="J439">
        <v>7</v>
      </c>
      <c r="K439">
        <v>104.81405728785199</v>
      </c>
      <c r="L439">
        <v>31.444217186355601</v>
      </c>
      <c r="M439" t="s">
        <v>34</v>
      </c>
      <c r="N439">
        <f>Supermarket_Sales_Case_Study[[#This Row],[Sales_Amount]]-Supermarket_Sales_Case_Study[[#This Row],[Profit]]</f>
        <v>73.369840101496393</v>
      </c>
      <c r="O439" s="2">
        <f>(Supermarket_Sales_Case_Study[[#This Row],[Sales_Amount]]-Supermarket_Sales_Case_Study[[#This Row],[Purchase]])/Supermarket_Sales_Case_Study[[#This Row],[Sales_Amount]]</f>
        <v>0.30000000000000004</v>
      </c>
      <c r="P439">
        <f>Supermarket_Sales_Case_Study[[#This Row],[Quantity]]*Supermarket_Sales_Case_Study[[#This Row],[Sales_Amount]]</f>
        <v>733.69840101496402</v>
      </c>
    </row>
    <row r="440" spans="1:16" x14ac:dyDescent="0.3">
      <c r="A440" t="s">
        <v>470</v>
      </c>
      <c r="B440" t="s">
        <v>14</v>
      </c>
      <c r="C440" t="s">
        <v>36</v>
      </c>
      <c r="D440">
        <v>1988</v>
      </c>
      <c r="E440" t="s">
        <v>16</v>
      </c>
      <c r="F440" t="s">
        <v>17</v>
      </c>
      <c r="G440" t="s">
        <v>33</v>
      </c>
      <c r="H440" s="1">
        <v>45352</v>
      </c>
      <c r="I440">
        <v>275.81495747629901</v>
      </c>
      <c r="J440">
        <v>7</v>
      </c>
      <c r="K440">
        <v>1930.7047023340899</v>
      </c>
      <c r="L440">
        <v>579.21141070022804</v>
      </c>
      <c r="M440" t="s">
        <v>34</v>
      </c>
      <c r="N440">
        <f>Supermarket_Sales_Case_Study[[#This Row],[Sales_Amount]]-Supermarket_Sales_Case_Study[[#This Row],[Profit]]</f>
        <v>1351.4932916338619</v>
      </c>
      <c r="O440" s="2">
        <f>(Supermarket_Sales_Case_Study[[#This Row],[Sales_Amount]]-Supermarket_Sales_Case_Study[[#This Row],[Purchase]])/Supermarket_Sales_Case_Study[[#This Row],[Sales_Amount]]</f>
        <v>0.30000000000000054</v>
      </c>
      <c r="P440">
        <f>Supermarket_Sales_Case_Study[[#This Row],[Quantity]]*Supermarket_Sales_Case_Study[[#This Row],[Sales_Amount]]</f>
        <v>13514.93291633863</v>
      </c>
    </row>
    <row r="441" spans="1:16" x14ac:dyDescent="0.3">
      <c r="A441" t="s">
        <v>471</v>
      </c>
      <c r="B441" t="s">
        <v>14</v>
      </c>
      <c r="C441" t="s">
        <v>36</v>
      </c>
      <c r="D441">
        <v>2151</v>
      </c>
      <c r="E441" t="s">
        <v>16</v>
      </c>
      <c r="F441" t="s">
        <v>22</v>
      </c>
      <c r="G441" t="s">
        <v>33</v>
      </c>
      <c r="H441" s="1">
        <v>45359</v>
      </c>
      <c r="I441">
        <v>214.785965614525</v>
      </c>
      <c r="J441">
        <v>6</v>
      </c>
      <c r="K441">
        <v>1288.7157936871499</v>
      </c>
      <c r="L441">
        <v>386.61473810614598</v>
      </c>
      <c r="M441" t="s">
        <v>24</v>
      </c>
      <c r="N441">
        <f>Supermarket_Sales_Case_Study[[#This Row],[Sales_Amount]]-Supermarket_Sales_Case_Study[[#This Row],[Profit]]</f>
        <v>902.10105558100395</v>
      </c>
      <c r="O441" s="2">
        <f>(Supermarket_Sales_Case_Study[[#This Row],[Sales_Amount]]-Supermarket_Sales_Case_Study[[#This Row],[Purchase]])/Supermarket_Sales_Case_Study[[#This Row],[Sales_Amount]]</f>
        <v>0.30000000000000077</v>
      </c>
      <c r="P441">
        <f>Supermarket_Sales_Case_Study[[#This Row],[Quantity]]*Supermarket_Sales_Case_Study[[#This Row],[Sales_Amount]]</f>
        <v>7732.2947621228996</v>
      </c>
    </row>
    <row r="442" spans="1:16" x14ac:dyDescent="0.3">
      <c r="A442" t="s">
        <v>472</v>
      </c>
      <c r="B442" t="s">
        <v>39</v>
      </c>
      <c r="C442" t="s">
        <v>36</v>
      </c>
      <c r="D442">
        <v>1908</v>
      </c>
      <c r="E442" t="s">
        <v>16</v>
      </c>
      <c r="F442" t="s">
        <v>22</v>
      </c>
      <c r="G442" t="s">
        <v>31</v>
      </c>
      <c r="H442" s="1">
        <v>45371</v>
      </c>
      <c r="I442">
        <v>99.597237119764202</v>
      </c>
      <c r="J442">
        <v>2</v>
      </c>
      <c r="K442">
        <v>199.19447423952801</v>
      </c>
      <c r="L442">
        <v>59.758342271858503</v>
      </c>
      <c r="M442" t="s">
        <v>19</v>
      </c>
      <c r="N442">
        <f>Supermarket_Sales_Case_Study[[#This Row],[Sales_Amount]]-Supermarket_Sales_Case_Study[[#This Row],[Profit]]</f>
        <v>139.4361319676695</v>
      </c>
      <c r="O442" s="2">
        <f>(Supermarket_Sales_Case_Study[[#This Row],[Sales_Amount]]-Supermarket_Sales_Case_Study[[#This Row],[Purchase]])/Supermarket_Sales_Case_Study[[#This Row],[Sales_Amount]]</f>
        <v>0.30000000000000054</v>
      </c>
      <c r="P442">
        <f>Supermarket_Sales_Case_Study[[#This Row],[Quantity]]*Supermarket_Sales_Case_Study[[#This Row],[Sales_Amount]]</f>
        <v>398.38894847905601</v>
      </c>
    </row>
    <row r="443" spans="1:16" x14ac:dyDescent="0.3">
      <c r="A443" t="s">
        <v>473</v>
      </c>
      <c r="B443" t="s">
        <v>14</v>
      </c>
      <c r="C443" t="s">
        <v>36</v>
      </c>
      <c r="D443">
        <v>2382</v>
      </c>
      <c r="E443" t="s">
        <v>16</v>
      </c>
      <c r="F443" t="s">
        <v>22</v>
      </c>
      <c r="G443" t="s">
        <v>33</v>
      </c>
      <c r="H443" s="1">
        <v>45322</v>
      </c>
      <c r="I443">
        <v>48.466927504276399</v>
      </c>
      <c r="J443">
        <v>9</v>
      </c>
      <c r="K443">
        <v>436.202347538487</v>
      </c>
      <c r="L443">
        <v>130.860704261546</v>
      </c>
      <c r="M443" t="s">
        <v>24</v>
      </c>
      <c r="N443">
        <f>Supermarket_Sales_Case_Study[[#This Row],[Sales_Amount]]-Supermarket_Sales_Case_Study[[#This Row],[Profit]]</f>
        <v>305.341643276941</v>
      </c>
      <c r="O443" s="2">
        <f>(Supermarket_Sales_Case_Study[[#This Row],[Sales_Amount]]-Supermarket_Sales_Case_Study[[#This Row],[Purchase]])/Supermarket_Sales_Case_Study[[#This Row],[Sales_Amount]]</f>
        <v>0.29999999999999977</v>
      </c>
      <c r="P443">
        <f>Supermarket_Sales_Case_Study[[#This Row],[Quantity]]*Supermarket_Sales_Case_Study[[#This Row],[Sales_Amount]]</f>
        <v>3925.8211278463832</v>
      </c>
    </row>
    <row r="444" spans="1:16" x14ac:dyDescent="0.3">
      <c r="A444" t="s">
        <v>474</v>
      </c>
      <c r="B444" t="s">
        <v>39</v>
      </c>
      <c r="C444" t="s">
        <v>36</v>
      </c>
      <c r="D444">
        <v>1526</v>
      </c>
      <c r="E444" t="s">
        <v>16</v>
      </c>
      <c r="F444" t="s">
        <v>17</v>
      </c>
      <c r="G444" t="s">
        <v>18</v>
      </c>
      <c r="H444" s="1">
        <v>45344</v>
      </c>
      <c r="I444">
        <v>158.37435818957201</v>
      </c>
      <c r="J444">
        <v>6</v>
      </c>
      <c r="K444">
        <v>950.24614913743403</v>
      </c>
      <c r="L444">
        <v>285.07384474123</v>
      </c>
      <c r="M444" t="s">
        <v>19</v>
      </c>
      <c r="N444">
        <f>Supermarket_Sales_Case_Study[[#This Row],[Sales_Amount]]-Supermarket_Sales_Case_Study[[#This Row],[Profit]]</f>
        <v>665.17230439620403</v>
      </c>
      <c r="O444" s="2">
        <f>(Supermarket_Sales_Case_Study[[#This Row],[Sales_Amount]]-Supermarket_Sales_Case_Study[[#This Row],[Purchase]])/Supermarket_Sales_Case_Study[[#This Row],[Sales_Amount]]</f>
        <v>0.29999999999999977</v>
      </c>
      <c r="P444">
        <f>Supermarket_Sales_Case_Study[[#This Row],[Quantity]]*Supermarket_Sales_Case_Study[[#This Row],[Sales_Amount]]</f>
        <v>5701.4768948246037</v>
      </c>
    </row>
    <row r="445" spans="1:16" x14ac:dyDescent="0.3">
      <c r="A445" t="s">
        <v>475</v>
      </c>
      <c r="B445" t="s">
        <v>21</v>
      </c>
      <c r="C445" t="s">
        <v>15</v>
      </c>
      <c r="D445">
        <v>2336</v>
      </c>
      <c r="E445" t="s">
        <v>26</v>
      </c>
      <c r="F445" t="s">
        <v>17</v>
      </c>
      <c r="G445" t="s">
        <v>23</v>
      </c>
      <c r="H445" s="1">
        <v>45316</v>
      </c>
      <c r="I445">
        <v>11.550386647765601</v>
      </c>
      <c r="J445">
        <v>8</v>
      </c>
      <c r="K445">
        <v>92.403093182125502</v>
      </c>
      <c r="L445">
        <v>27.720927954637599</v>
      </c>
      <c r="M445" t="s">
        <v>24</v>
      </c>
      <c r="N445">
        <f>Supermarket_Sales_Case_Study[[#This Row],[Sales_Amount]]-Supermarket_Sales_Case_Study[[#This Row],[Profit]]</f>
        <v>64.6821652274879</v>
      </c>
      <c r="O445" s="2">
        <f>(Supermarket_Sales_Case_Study[[#This Row],[Sales_Amount]]-Supermarket_Sales_Case_Study[[#This Row],[Purchase]])/Supermarket_Sales_Case_Study[[#This Row],[Sales_Amount]]</f>
        <v>0.29999999999999949</v>
      </c>
      <c r="P445">
        <f>Supermarket_Sales_Case_Study[[#This Row],[Quantity]]*Supermarket_Sales_Case_Study[[#This Row],[Sales_Amount]]</f>
        <v>739.22474545700402</v>
      </c>
    </row>
    <row r="446" spans="1:16" x14ac:dyDescent="0.3">
      <c r="A446" t="s">
        <v>476</v>
      </c>
      <c r="B446" t="s">
        <v>39</v>
      </c>
      <c r="C446" t="s">
        <v>30</v>
      </c>
      <c r="D446">
        <v>1074</v>
      </c>
      <c r="E446" t="s">
        <v>16</v>
      </c>
      <c r="F446" t="s">
        <v>17</v>
      </c>
      <c r="G446" t="s">
        <v>23</v>
      </c>
      <c r="H446" s="1">
        <v>45335</v>
      </c>
      <c r="I446">
        <v>282.139985718861</v>
      </c>
      <c r="J446">
        <v>1</v>
      </c>
      <c r="K446">
        <v>282.139985718861</v>
      </c>
      <c r="L446">
        <v>84.641995715658496</v>
      </c>
      <c r="M446" t="s">
        <v>19</v>
      </c>
      <c r="N446">
        <f>Supermarket_Sales_Case_Study[[#This Row],[Sales_Amount]]-Supermarket_Sales_Case_Study[[#This Row],[Profit]]</f>
        <v>197.49799000320252</v>
      </c>
      <c r="O446" s="2">
        <f>(Supermarket_Sales_Case_Study[[#This Row],[Sales_Amount]]-Supermarket_Sales_Case_Study[[#This Row],[Purchase]])/Supermarket_Sales_Case_Study[[#This Row],[Sales_Amount]]</f>
        <v>0.30000000000000066</v>
      </c>
      <c r="P446">
        <f>Supermarket_Sales_Case_Study[[#This Row],[Quantity]]*Supermarket_Sales_Case_Study[[#This Row],[Sales_Amount]]</f>
        <v>282.139985718861</v>
      </c>
    </row>
    <row r="447" spans="1:16" x14ac:dyDescent="0.3">
      <c r="A447" t="s">
        <v>477</v>
      </c>
      <c r="B447" t="s">
        <v>21</v>
      </c>
      <c r="C447" t="s">
        <v>15</v>
      </c>
      <c r="D447">
        <v>1195</v>
      </c>
      <c r="E447" t="s">
        <v>26</v>
      </c>
      <c r="F447" t="s">
        <v>22</v>
      </c>
      <c r="G447" t="s">
        <v>23</v>
      </c>
      <c r="H447" s="1">
        <v>45303</v>
      </c>
      <c r="I447">
        <v>130.29638462279399</v>
      </c>
      <c r="J447">
        <v>5</v>
      </c>
      <c r="K447">
        <v>651.48192311397304</v>
      </c>
      <c r="L447">
        <v>195.44457693419201</v>
      </c>
      <c r="M447" t="s">
        <v>24</v>
      </c>
      <c r="N447">
        <f>Supermarket_Sales_Case_Study[[#This Row],[Sales_Amount]]-Supermarket_Sales_Case_Study[[#This Row],[Profit]]</f>
        <v>456.03734617978103</v>
      </c>
      <c r="O447" s="2">
        <f>(Supermarket_Sales_Case_Study[[#This Row],[Sales_Amount]]-Supermarket_Sales_Case_Study[[#This Row],[Purchase]])/Supermarket_Sales_Case_Study[[#This Row],[Sales_Amount]]</f>
        <v>0.30000000000000016</v>
      </c>
      <c r="P447">
        <f>Supermarket_Sales_Case_Study[[#This Row],[Quantity]]*Supermarket_Sales_Case_Study[[#This Row],[Sales_Amount]]</f>
        <v>3257.4096155698653</v>
      </c>
    </row>
    <row r="448" spans="1:16" x14ac:dyDescent="0.3">
      <c r="A448" t="s">
        <v>478</v>
      </c>
      <c r="B448" t="s">
        <v>39</v>
      </c>
      <c r="C448" t="s">
        <v>30</v>
      </c>
      <c r="D448">
        <v>1028</v>
      </c>
      <c r="E448" t="s">
        <v>16</v>
      </c>
      <c r="F448" t="s">
        <v>17</v>
      </c>
      <c r="G448" t="s">
        <v>18</v>
      </c>
      <c r="H448" s="1">
        <v>45381</v>
      </c>
      <c r="I448">
        <v>126.677137018826</v>
      </c>
      <c r="J448">
        <v>1</v>
      </c>
      <c r="K448">
        <v>126.677137018826</v>
      </c>
      <c r="L448">
        <v>38.003141105647899</v>
      </c>
      <c r="M448" t="s">
        <v>19</v>
      </c>
      <c r="N448">
        <f>Supermarket_Sales_Case_Study[[#This Row],[Sales_Amount]]-Supermarket_Sales_Case_Study[[#This Row],[Profit]]</f>
        <v>88.673995913178103</v>
      </c>
      <c r="O448" s="2">
        <f>(Supermarket_Sales_Case_Study[[#This Row],[Sales_Amount]]-Supermarket_Sales_Case_Study[[#This Row],[Purchase]])/Supermarket_Sales_Case_Study[[#This Row],[Sales_Amount]]</f>
        <v>0.30000000000000077</v>
      </c>
      <c r="P448">
        <f>Supermarket_Sales_Case_Study[[#This Row],[Quantity]]*Supermarket_Sales_Case_Study[[#This Row],[Sales_Amount]]</f>
        <v>126.677137018826</v>
      </c>
    </row>
    <row r="449" spans="1:16" x14ac:dyDescent="0.3">
      <c r="A449" t="s">
        <v>479</v>
      </c>
      <c r="B449" t="s">
        <v>14</v>
      </c>
      <c r="C449" t="s">
        <v>15</v>
      </c>
      <c r="D449">
        <v>1705</v>
      </c>
      <c r="E449" t="s">
        <v>16</v>
      </c>
      <c r="F449" t="s">
        <v>17</v>
      </c>
      <c r="G449" t="s">
        <v>33</v>
      </c>
      <c r="H449" s="1">
        <v>45300</v>
      </c>
      <c r="I449">
        <v>123.272146198716</v>
      </c>
      <c r="J449">
        <v>8</v>
      </c>
      <c r="K449">
        <v>986.17716958973404</v>
      </c>
      <c r="L449">
        <v>295.85315087691998</v>
      </c>
      <c r="M449" t="s">
        <v>19</v>
      </c>
      <c r="N449">
        <f>Supermarket_Sales_Case_Study[[#This Row],[Sales_Amount]]-Supermarket_Sales_Case_Study[[#This Row],[Profit]]</f>
        <v>690.324018712814</v>
      </c>
      <c r="O449" s="2">
        <f>(Supermarket_Sales_Case_Study[[#This Row],[Sales_Amount]]-Supermarket_Sales_Case_Study[[#This Row],[Purchase]])/Supermarket_Sales_Case_Study[[#This Row],[Sales_Amount]]</f>
        <v>0.29999999999999982</v>
      </c>
      <c r="P449">
        <f>Supermarket_Sales_Case_Study[[#This Row],[Quantity]]*Supermarket_Sales_Case_Study[[#This Row],[Sales_Amount]]</f>
        <v>7889.4173567178723</v>
      </c>
    </row>
    <row r="450" spans="1:16" x14ac:dyDescent="0.3">
      <c r="A450" t="s">
        <v>480</v>
      </c>
      <c r="B450" t="s">
        <v>14</v>
      </c>
      <c r="C450" t="s">
        <v>36</v>
      </c>
      <c r="D450">
        <v>2020</v>
      </c>
      <c r="E450" t="s">
        <v>26</v>
      </c>
      <c r="F450" t="s">
        <v>22</v>
      </c>
      <c r="G450" t="s">
        <v>28</v>
      </c>
      <c r="H450" s="1">
        <v>45303</v>
      </c>
      <c r="I450">
        <v>30.1052158124517</v>
      </c>
      <c r="J450">
        <v>8</v>
      </c>
      <c r="K450">
        <v>240.841726499614</v>
      </c>
      <c r="L450">
        <v>72.252517949884194</v>
      </c>
      <c r="M450" t="s">
        <v>19</v>
      </c>
      <c r="N450">
        <f>Supermarket_Sales_Case_Study[[#This Row],[Sales_Amount]]-Supermarket_Sales_Case_Study[[#This Row],[Profit]]</f>
        <v>168.58920854972979</v>
      </c>
      <c r="O450" s="2">
        <f>(Supermarket_Sales_Case_Study[[#This Row],[Sales_Amount]]-Supermarket_Sales_Case_Study[[#This Row],[Purchase]])/Supermarket_Sales_Case_Study[[#This Row],[Sales_Amount]]</f>
        <v>0.30000000000000004</v>
      </c>
      <c r="P450">
        <f>Supermarket_Sales_Case_Study[[#This Row],[Quantity]]*Supermarket_Sales_Case_Study[[#This Row],[Sales_Amount]]</f>
        <v>1926.733811996912</v>
      </c>
    </row>
    <row r="451" spans="1:16" x14ac:dyDescent="0.3">
      <c r="A451" t="s">
        <v>481</v>
      </c>
      <c r="B451" t="s">
        <v>21</v>
      </c>
      <c r="C451" t="s">
        <v>30</v>
      </c>
      <c r="D451">
        <v>1015</v>
      </c>
      <c r="E451" t="s">
        <v>16</v>
      </c>
      <c r="F451" t="s">
        <v>22</v>
      </c>
      <c r="G451" t="s">
        <v>33</v>
      </c>
      <c r="H451" s="1">
        <v>45360</v>
      </c>
      <c r="I451">
        <v>195.11344953962899</v>
      </c>
      <c r="J451">
        <v>1</v>
      </c>
      <c r="K451">
        <v>195.11344953962899</v>
      </c>
      <c r="L451">
        <v>58.534034861888898</v>
      </c>
      <c r="M451" t="s">
        <v>19</v>
      </c>
      <c r="N451">
        <f>Supermarket_Sales_Case_Study[[#This Row],[Sales_Amount]]-Supermarket_Sales_Case_Study[[#This Row],[Profit]]</f>
        <v>136.57941467774009</v>
      </c>
      <c r="O451" s="2">
        <f>(Supermarket_Sales_Case_Study[[#This Row],[Sales_Amount]]-Supermarket_Sales_Case_Study[[#This Row],[Purchase]])/Supermarket_Sales_Case_Study[[#This Row],[Sales_Amount]]</f>
        <v>0.30000000000000104</v>
      </c>
      <c r="P451">
        <f>Supermarket_Sales_Case_Study[[#This Row],[Quantity]]*Supermarket_Sales_Case_Study[[#This Row],[Sales_Amount]]</f>
        <v>195.11344953962899</v>
      </c>
    </row>
    <row r="452" spans="1:16" x14ac:dyDescent="0.3">
      <c r="A452" t="s">
        <v>482</v>
      </c>
      <c r="B452" t="s">
        <v>21</v>
      </c>
      <c r="C452" t="s">
        <v>30</v>
      </c>
      <c r="D452">
        <v>2446</v>
      </c>
      <c r="E452" t="s">
        <v>26</v>
      </c>
      <c r="F452" t="s">
        <v>22</v>
      </c>
      <c r="G452" t="s">
        <v>31</v>
      </c>
      <c r="H452" s="1">
        <v>45345</v>
      </c>
      <c r="I452">
        <v>222.571049692222</v>
      </c>
      <c r="J452">
        <v>9</v>
      </c>
      <c r="K452">
        <v>2003.1394472300001</v>
      </c>
      <c r="L452">
        <v>600.941834169</v>
      </c>
      <c r="M452" t="s">
        <v>19</v>
      </c>
      <c r="N452">
        <f>Supermarket_Sales_Case_Study[[#This Row],[Sales_Amount]]-Supermarket_Sales_Case_Study[[#This Row],[Profit]]</f>
        <v>1402.1976130610001</v>
      </c>
      <c r="O452" s="2">
        <f>(Supermarket_Sales_Case_Study[[#This Row],[Sales_Amount]]-Supermarket_Sales_Case_Study[[#This Row],[Purchase]])/Supermarket_Sales_Case_Study[[#This Row],[Sales_Amount]]</f>
        <v>0.3</v>
      </c>
      <c r="P452">
        <f>Supermarket_Sales_Case_Study[[#This Row],[Quantity]]*Supermarket_Sales_Case_Study[[#This Row],[Sales_Amount]]</f>
        <v>18028.255025070001</v>
      </c>
    </row>
    <row r="453" spans="1:16" x14ac:dyDescent="0.3">
      <c r="A453" t="s">
        <v>483</v>
      </c>
      <c r="B453" t="s">
        <v>21</v>
      </c>
      <c r="C453" t="s">
        <v>15</v>
      </c>
      <c r="D453">
        <v>1804</v>
      </c>
      <c r="E453" t="s">
        <v>26</v>
      </c>
      <c r="F453" t="s">
        <v>22</v>
      </c>
      <c r="G453" t="s">
        <v>37</v>
      </c>
      <c r="H453" s="1">
        <v>45345</v>
      </c>
      <c r="I453">
        <v>206.07636530060401</v>
      </c>
      <c r="J453">
        <v>2</v>
      </c>
      <c r="K453">
        <v>412.15273060120802</v>
      </c>
      <c r="L453">
        <v>123.645819180362</v>
      </c>
      <c r="M453" t="s">
        <v>34</v>
      </c>
      <c r="N453">
        <f>Supermarket_Sales_Case_Study[[#This Row],[Sales_Amount]]-Supermarket_Sales_Case_Study[[#This Row],[Profit]]</f>
        <v>288.506911420846</v>
      </c>
      <c r="O453" s="2">
        <f>(Supermarket_Sales_Case_Study[[#This Row],[Sales_Amount]]-Supermarket_Sales_Case_Study[[#This Row],[Purchase]])/Supermarket_Sales_Case_Study[[#This Row],[Sales_Amount]]</f>
        <v>0.2999999999999991</v>
      </c>
      <c r="P453">
        <f>Supermarket_Sales_Case_Study[[#This Row],[Quantity]]*Supermarket_Sales_Case_Study[[#This Row],[Sales_Amount]]</f>
        <v>824.30546120241604</v>
      </c>
    </row>
    <row r="454" spans="1:16" x14ac:dyDescent="0.3">
      <c r="A454" t="s">
        <v>484</v>
      </c>
      <c r="B454" t="s">
        <v>39</v>
      </c>
      <c r="C454" t="s">
        <v>15</v>
      </c>
      <c r="D454">
        <v>2428</v>
      </c>
      <c r="E454" t="s">
        <v>26</v>
      </c>
      <c r="F454" t="s">
        <v>22</v>
      </c>
      <c r="G454" t="s">
        <v>23</v>
      </c>
      <c r="H454" s="1">
        <v>45319</v>
      </c>
      <c r="I454">
        <v>50.146293065524297</v>
      </c>
      <c r="J454">
        <v>9</v>
      </c>
      <c r="K454">
        <v>451.31663758971899</v>
      </c>
      <c r="L454">
        <v>135.39499127691499</v>
      </c>
      <c r="M454" t="s">
        <v>19</v>
      </c>
      <c r="N454">
        <f>Supermarket_Sales_Case_Study[[#This Row],[Sales_Amount]]-Supermarket_Sales_Case_Study[[#This Row],[Profit]]</f>
        <v>315.921646312804</v>
      </c>
      <c r="O454" s="2">
        <f>(Supermarket_Sales_Case_Study[[#This Row],[Sales_Amount]]-Supermarket_Sales_Case_Study[[#This Row],[Purchase]])/Supermarket_Sales_Case_Study[[#This Row],[Sales_Amount]]</f>
        <v>0.29999999999999843</v>
      </c>
      <c r="P454">
        <f>Supermarket_Sales_Case_Study[[#This Row],[Quantity]]*Supermarket_Sales_Case_Study[[#This Row],[Sales_Amount]]</f>
        <v>4061.8497383074709</v>
      </c>
    </row>
    <row r="455" spans="1:16" x14ac:dyDescent="0.3">
      <c r="A455" t="s">
        <v>485</v>
      </c>
      <c r="B455" t="s">
        <v>39</v>
      </c>
      <c r="C455" t="s">
        <v>30</v>
      </c>
      <c r="D455">
        <v>1939</v>
      </c>
      <c r="E455" t="s">
        <v>26</v>
      </c>
      <c r="F455" t="s">
        <v>17</v>
      </c>
      <c r="G455" t="s">
        <v>33</v>
      </c>
      <c r="H455" s="1">
        <v>45347</v>
      </c>
      <c r="I455">
        <v>177.86364873032099</v>
      </c>
      <c r="J455">
        <v>1</v>
      </c>
      <c r="K455">
        <v>177.86364873032099</v>
      </c>
      <c r="L455">
        <v>53.359094619096503</v>
      </c>
      <c r="M455" t="s">
        <v>34</v>
      </c>
      <c r="N455">
        <f>Supermarket_Sales_Case_Study[[#This Row],[Sales_Amount]]-Supermarket_Sales_Case_Study[[#This Row],[Profit]]</f>
        <v>124.50455411122448</v>
      </c>
      <c r="O455" s="2">
        <f>(Supermarket_Sales_Case_Study[[#This Row],[Sales_Amount]]-Supermarket_Sales_Case_Study[[#This Row],[Purchase]])/Supermarket_Sales_Case_Study[[#This Row],[Sales_Amount]]</f>
        <v>0.30000000000000121</v>
      </c>
      <c r="P455">
        <f>Supermarket_Sales_Case_Study[[#This Row],[Quantity]]*Supermarket_Sales_Case_Study[[#This Row],[Sales_Amount]]</f>
        <v>177.86364873032099</v>
      </c>
    </row>
    <row r="456" spans="1:16" x14ac:dyDescent="0.3">
      <c r="A456" t="s">
        <v>486</v>
      </c>
      <c r="B456" t="s">
        <v>21</v>
      </c>
      <c r="C456" t="s">
        <v>15</v>
      </c>
      <c r="D456">
        <v>1966</v>
      </c>
      <c r="E456" t="s">
        <v>16</v>
      </c>
      <c r="F456" t="s">
        <v>22</v>
      </c>
      <c r="G456" t="s">
        <v>28</v>
      </c>
      <c r="H456" s="1">
        <v>45360</v>
      </c>
      <c r="I456">
        <v>175.150500409953</v>
      </c>
      <c r="J456">
        <v>9</v>
      </c>
      <c r="K456">
        <v>1576.35450368958</v>
      </c>
      <c r="L456">
        <v>472.90635110687401</v>
      </c>
      <c r="M456" t="s">
        <v>19</v>
      </c>
      <c r="N456">
        <f>Supermarket_Sales_Case_Study[[#This Row],[Sales_Amount]]-Supermarket_Sales_Case_Study[[#This Row],[Profit]]</f>
        <v>1103.4481525827059</v>
      </c>
      <c r="O456" s="2">
        <f>(Supermarket_Sales_Case_Study[[#This Row],[Sales_Amount]]-Supermarket_Sales_Case_Study[[#This Row],[Purchase]])/Supermarket_Sales_Case_Study[[#This Row],[Sales_Amount]]</f>
        <v>0.30000000000000004</v>
      </c>
      <c r="P456">
        <f>Supermarket_Sales_Case_Study[[#This Row],[Quantity]]*Supermarket_Sales_Case_Study[[#This Row],[Sales_Amount]]</f>
        <v>14187.19053320622</v>
      </c>
    </row>
    <row r="457" spans="1:16" x14ac:dyDescent="0.3">
      <c r="A457" t="s">
        <v>487</v>
      </c>
      <c r="B457" t="s">
        <v>14</v>
      </c>
      <c r="C457" t="s">
        <v>15</v>
      </c>
      <c r="D457">
        <v>2100</v>
      </c>
      <c r="E457" t="s">
        <v>16</v>
      </c>
      <c r="F457" t="s">
        <v>17</v>
      </c>
      <c r="G457" t="s">
        <v>31</v>
      </c>
      <c r="H457" s="1">
        <v>45368</v>
      </c>
      <c r="I457">
        <v>261.83912850299998</v>
      </c>
      <c r="J457">
        <v>4</v>
      </c>
      <c r="K457">
        <v>1047.3565140119999</v>
      </c>
      <c r="L457">
        <v>314.20695420359999</v>
      </c>
      <c r="M457" t="s">
        <v>34</v>
      </c>
      <c r="N457">
        <f>Supermarket_Sales_Case_Study[[#This Row],[Sales_Amount]]-Supermarket_Sales_Case_Study[[#This Row],[Profit]]</f>
        <v>733.1495598084</v>
      </c>
      <c r="O457" s="2">
        <f>(Supermarket_Sales_Case_Study[[#This Row],[Sales_Amount]]-Supermarket_Sales_Case_Study[[#This Row],[Purchase]])/Supermarket_Sales_Case_Study[[#This Row],[Sales_Amount]]</f>
        <v>0.29999999999999993</v>
      </c>
      <c r="P457">
        <f>Supermarket_Sales_Case_Study[[#This Row],[Quantity]]*Supermarket_Sales_Case_Study[[#This Row],[Sales_Amount]]</f>
        <v>4189.4260560479997</v>
      </c>
    </row>
    <row r="458" spans="1:16" x14ac:dyDescent="0.3">
      <c r="A458" t="s">
        <v>488</v>
      </c>
      <c r="B458" t="s">
        <v>39</v>
      </c>
      <c r="C458" t="s">
        <v>15</v>
      </c>
      <c r="D458">
        <v>1228</v>
      </c>
      <c r="E458" t="s">
        <v>26</v>
      </c>
      <c r="F458" t="s">
        <v>17</v>
      </c>
      <c r="G458" t="s">
        <v>18</v>
      </c>
      <c r="H458" s="1">
        <v>45349</v>
      </c>
      <c r="I458">
        <v>119.94702092893699</v>
      </c>
      <c r="J458">
        <v>9</v>
      </c>
      <c r="K458">
        <v>1079.5231883604299</v>
      </c>
      <c r="L458">
        <v>323.85695650813102</v>
      </c>
      <c r="M458" t="s">
        <v>34</v>
      </c>
      <c r="N458">
        <f>Supermarket_Sales_Case_Study[[#This Row],[Sales_Amount]]-Supermarket_Sales_Case_Study[[#This Row],[Profit]]</f>
        <v>755.66623185229889</v>
      </c>
      <c r="O458" s="2">
        <f>(Supermarket_Sales_Case_Study[[#This Row],[Sales_Amount]]-Supermarket_Sales_Case_Study[[#This Row],[Purchase]])/Supermarket_Sales_Case_Study[[#This Row],[Sales_Amount]]</f>
        <v>0.30000000000000188</v>
      </c>
      <c r="P458">
        <f>Supermarket_Sales_Case_Study[[#This Row],[Quantity]]*Supermarket_Sales_Case_Study[[#This Row],[Sales_Amount]]</f>
        <v>9715.7086952438694</v>
      </c>
    </row>
    <row r="459" spans="1:16" x14ac:dyDescent="0.3">
      <c r="A459" t="s">
        <v>489</v>
      </c>
      <c r="B459" t="s">
        <v>39</v>
      </c>
      <c r="C459" t="s">
        <v>36</v>
      </c>
      <c r="D459">
        <v>1961</v>
      </c>
      <c r="E459" t="s">
        <v>16</v>
      </c>
      <c r="F459" t="s">
        <v>22</v>
      </c>
      <c r="G459" t="s">
        <v>18</v>
      </c>
      <c r="H459" s="1">
        <v>45369</v>
      </c>
      <c r="I459">
        <v>117.730923661235</v>
      </c>
      <c r="J459">
        <v>7</v>
      </c>
      <c r="K459">
        <v>824.11646562865099</v>
      </c>
      <c r="L459">
        <v>247.23493968859501</v>
      </c>
      <c r="M459" t="s">
        <v>24</v>
      </c>
      <c r="N459">
        <f>Supermarket_Sales_Case_Study[[#This Row],[Sales_Amount]]-Supermarket_Sales_Case_Study[[#This Row],[Profit]]</f>
        <v>576.88152594005601</v>
      </c>
      <c r="O459" s="2">
        <f>(Supermarket_Sales_Case_Study[[#This Row],[Sales_Amount]]-Supermarket_Sales_Case_Study[[#This Row],[Purchase]])/Supermarket_Sales_Case_Study[[#This Row],[Sales_Amount]]</f>
        <v>0.2999999999999996</v>
      </c>
      <c r="P459">
        <f>Supermarket_Sales_Case_Study[[#This Row],[Quantity]]*Supermarket_Sales_Case_Study[[#This Row],[Sales_Amount]]</f>
        <v>5768.8152594005569</v>
      </c>
    </row>
    <row r="460" spans="1:16" x14ac:dyDescent="0.3">
      <c r="A460" t="s">
        <v>490</v>
      </c>
      <c r="B460" t="s">
        <v>39</v>
      </c>
      <c r="C460" t="s">
        <v>36</v>
      </c>
      <c r="D460">
        <v>2320</v>
      </c>
      <c r="E460" t="s">
        <v>16</v>
      </c>
      <c r="F460" t="s">
        <v>22</v>
      </c>
      <c r="G460" t="s">
        <v>28</v>
      </c>
      <c r="H460" s="1">
        <v>45366</v>
      </c>
      <c r="I460">
        <v>189.37284702827299</v>
      </c>
      <c r="J460">
        <v>6</v>
      </c>
      <c r="K460">
        <v>1136.23708216964</v>
      </c>
      <c r="L460">
        <v>340.871124650892</v>
      </c>
      <c r="M460" t="s">
        <v>19</v>
      </c>
      <c r="N460">
        <f>Supermarket_Sales_Case_Study[[#This Row],[Sales_Amount]]-Supermarket_Sales_Case_Study[[#This Row],[Profit]]</f>
        <v>795.36595751874802</v>
      </c>
      <c r="O460" s="2">
        <f>(Supermarket_Sales_Case_Study[[#This Row],[Sales_Amount]]-Supermarket_Sales_Case_Study[[#This Row],[Purchase]])/Supermarket_Sales_Case_Study[[#This Row],[Sales_Amount]]</f>
        <v>0.29999999999999993</v>
      </c>
      <c r="P460">
        <f>Supermarket_Sales_Case_Study[[#This Row],[Quantity]]*Supermarket_Sales_Case_Study[[#This Row],[Sales_Amount]]</f>
        <v>6817.4224930178398</v>
      </c>
    </row>
    <row r="461" spans="1:16" x14ac:dyDescent="0.3">
      <c r="A461" t="s">
        <v>491</v>
      </c>
      <c r="B461" t="s">
        <v>21</v>
      </c>
      <c r="C461" t="s">
        <v>15</v>
      </c>
      <c r="D461">
        <v>1714</v>
      </c>
      <c r="E461" t="s">
        <v>26</v>
      </c>
      <c r="F461" t="s">
        <v>22</v>
      </c>
      <c r="G461" t="s">
        <v>31</v>
      </c>
      <c r="H461" s="1">
        <v>45333</v>
      </c>
      <c r="I461">
        <v>193.59106951485799</v>
      </c>
      <c r="J461">
        <v>5</v>
      </c>
      <c r="K461">
        <v>967.955347574293</v>
      </c>
      <c r="L461">
        <v>290.38660427228803</v>
      </c>
      <c r="M461" t="s">
        <v>24</v>
      </c>
      <c r="N461">
        <f>Supermarket_Sales_Case_Study[[#This Row],[Sales_Amount]]-Supermarket_Sales_Case_Study[[#This Row],[Profit]]</f>
        <v>677.56874330200503</v>
      </c>
      <c r="O461" s="2">
        <f>(Supermarket_Sales_Case_Study[[#This Row],[Sales_Amount]]-Supermarket_Sales_Case_Study[[#This Row],[Purchase]])/Supermarket_Sales_Case_Study[[#This Row],[Sales_Amount]]</f>
        <v>0.30000000000000004</v>
      </c>
      <c r="P461">
        <f>Supermarket_Sales_Case_Study[[#This Row],[Quantity]]*Supermarket_Sales_Case_Study[[#This Row],[Sales_Amount]]</f>
        <v>4839.7767378714652</v>
      </c>
    </row>
    <row r="462" spans="1:16" x14ac:dyDescent="0.3">
      <c r="A462" t="s">
        <v>492</v>
      </c>
      <c r="B462" t="s">
        <v>21</v>
      </c>
      <c r="C462" t="s">
        <v>15</v>
      </c>
      <c r="D462">
        <v>1983</v>
      </c>
      <c r="E462" t="s">
        <v>16</v>
      </c>
      <c r="F462" t="s">
        <v>17</v>
      </c>
      <c r="G462" t="s">
        <v>23</v>
      </c>
      <c r="H462" s="1">
        <v>45329</v>
      </c>
      <c r="I462">
        <v>146.09271592447899</v>
      </c>
      <c r="J462">
        <v>9</v>
      </c>
      <c r="K462">
        <v>1314.8344433203099</v>
      </c>
      <c r="L462">
        <v>394.45033299609298</v>
      </c>
      <c r="M462" t="s">
        <v>24</v>
      </c>
      <c r="N462">
        <f>Supermarket_Sales_Case_Study[[#This Row],[Sales_Amount]]-Supermarket_Sales_Case_Study[[#This Row],[Profit]]</f>
        <v>920.38411032421686</v>
      </c>
      <c r="O462" s="2">
        <f>(Supermarket_Sales_Case_Study[[#This Row],[Sales_Amount]]-Supermarket_Sales_Case_Study[[#This Row],[Purchase]])/Supermarket_Sales_Case_Study[[#This Row],[Sales_Amount]]</f>
        <v>0.30000000000000004</v>
      </c>
      <c r="P462">
        <f>Supermarket_Sales_Case_Study[[#This Row],[Quantity]]*Supermarket_Sales_Case_Study[[#This Row],[Sales_Amount]]</f>
        <v>11833.509989882788</v>
      </c>
    </row>
    <row r="463" spans="1:16" x14ac:dyDescent="0.3">
      <c r="A463" t="s">
        <v>493</v>
      </c>
      <c r="B463" t="s">
        <v>21</v>
      </c>
      <c r="C463" t="s">
        <v>36</v>
      </c>
      <c r="D463">
        <v>1572</v>
      </c>
      <c r="E463" t="s">
        <v>26</v>
      </c>
      <c r="F463" t="s">
        <v>22</v>
      </c>
      <c r="G463" t="s">
        <v>33</v>
      </c>
      <c r="H463" s="1">
        <v>45359</v>
      </c>
      <c r="I463">
        <v>138.48721507582201</v>
      </c>
      <c r="J463">
        <v>2</v>
      </c>
      <c r="K463">
        <v>276.97443015164401</v>
      </c>
      <c r="L463">
        <v>83.092329045493202</v>
      </c>
      <c r="M463" t="s">
        <v>19</v>
      </c>
      <c r="N463">
        <f>Supermarket_Sales_Case_Study[[#This Row],[Sales_Amount]]-Supermarket_Sales_Case_Study[[#This Row],[Profit]]</f>
        <v>193.8821011061508</v>
      </c>
      <c r="O463" s="2">
        <f>(Supermarket_Sales_Case_Study[[#This Row],[Sales_Amount]]-Supermarket_Sales_Case_Study[[#This Row],[Purchase]])/Supermarket_Sales_Case_Study[[#This Row],[Sales_Amount]]</f>
        <v>0.30000000000000004</v>
      </c>
      <c r="P463">
        <f>Supermarket_Sales_Case_Study[[#This Row],[Quantity]]*Supermarket_Sales_Case_Study[[#This Row],[Sales_Amount]]</f>
        <v>553.94886030328803</v>
      </c>
    </row>
    <row r="464" spans="1:16" x14ac:dyDescent="0.3">
      <c r="A464" t="s">
        <v>494</v>
      </c>
      <c r="B464" t="s">
        <v>21</v>
      </c>
      <c r="C464" t="s">
        <v>36</v>
      </c>
      <c r="D464">
        <v>1614</v>
      </c>
      <c r="E464" t="s">
        <v>26</v>
      </c>
      <c r="F464" t="s">
        <v>22</v>
      </c>
      <c r="G464" t="s">
        <v>31</v>
      </c>
      <c r="H464" s="1">
        <v>45344</v>
      </c>
      <c r="I464">
        <v>153.302824484985</v>
      </c>
      <c r="J464">
        <v>2</v>
      </c>
      <c r="K464">
        <v>306.60564896997101</v>
      </c>
      <c r="L464">
        <v>91.981694690991503</v>
      </c>
      <c r="M464" t="s">
        <v>24</v>
      </c>
      <c r="N464">
        <f>Supermarket_Sales_Case_Study[[#This Row],[Sales_Amount]]-Supermarket_Sales_Case_Study[[#This Row],[Profit]]</f>
        <v>214.62395427897951</v>
      </c>
      <c r="O464" s="2">
        <f>(Supermarket_Sales_Case_Study[[#This Row],[Sales_Amount]]-Supermarket_Sales_Case_Study[[#This Row],[Purchase]])/Supermarket_Sales_Case_Study[[#This Row],[Sales_Amount]]</f>
        <v>0.30000000000000066</v>
      </c>
      <c r="P464">
        <f>Supermarket_Sales_Case_Study[[#This Row],[Quantity]]*Supermarket_Sales_Case_Study[[#This Row],[Sales_Amount]]</f>
        <v>613.21129793994203</v>
      </c>
    </row>
    <row r="465" spans="1:16" x14ac:dyDescent="0.3">
      <c r="A465" t="s">
        <v>495</v>
      </c>
      <c r="B465" t="s">
        <v>21</v>
      </c>
      <c r="C465" t="s">
        <v>30</v>
      </c>
      <c r="D465">
        <v>1325</v>
      </c>
      <c r="E465" t="s">
        <v>16</v>
      </c>
      <c r="F465" t="s">
        <v>22</v>
      </c>
      <c r="G465" t="s">
        <v>18</v>
      </c>
      <c r="H465" s="1">
        <v>45324</v>
      </c>
      <c r="I465">
        <v>259.70313685596</v>
      </c>
      <c r="J465">
        <v>9</v>
      </c>
      <c r="K465">
        <v>2337.3282317036401</v>
      </c>
      <c r="L465">
        <v>701.19846951109298</v>
      </c>
      <c r="M465" t="s">
        <v>19</v>
      </c>
      <c r="N465">
        <f>Supermarket_Sales_Case_Study[[#This Row],[Sales_Amount]]-Supermarket_Sales_Case_Study[[#This Row],[Profit]]</f>
        <v>1636.1297621925471</v>
      </c>
      <c r="O465" s="2">
        <f>(Supermarket_Sales_Case_Study[[#This Row],[Sales_Amount]]-Supermarket_Sales_Case_Study[[#This Row],[Purchase]])/Supermarket_Sales_Case_Study[[#This Row],[Sales_Amount]]</f>
        <v>0.30000000000000043</v>
      </c>
      <c r="P465">
        <f>Supermarket_Sales_Case_Study[[#This Row],[Quantity]]*Supermarket_Sales_Case_Study[[#This Row],[Sales_Amount]]</f>
        <v>21035.95408533276</v>
      </c>
    </row>
    <row r="466" spans="1:16" x14ac:dyDescent="0.3">
      <c r="A466" t="s">
        <v>496</v>
      </c>
      <c r="B466" t="s">
        <v>14</v>
      </c>
      <c r="C466" t="s">
        <v>30</v>
      </c>
      <c r="D466">
        <v>2386</v>
      </c>
      <c r="E466" t="s">
        <v>16</v>
      </c>
      <c r="F466" t="s">
        <v>22</v>
      </c>
      <c r="G466" t="s">
        <v>28</v>
      </c>
      <c r="H466" s="1">
        <v>45362</v>
      </c>
      <c r="I466">
        <v>143.73840136363299</v>
      </c>
      <c r="J466">
        <v>3</v>
      </c>
      <c r="K466">
        <v>431.21520409090101</v>
      </c>
      <c r="L466">
        <v>129.36456122727</v>
      </c>
      <c r="M466" t="s">
        <v>24</v>
      </c>
      <c r="N466">
        <f>Supermarket_Sales_Case_Study[[#This Row],[Sales_Amount]]-Supermarket_Sales_Case_Study[[#This Row],[Profit]]</f>
        <v>301.85064286363104</v>
      </c>
      <c r="O466" s="2">
        <f>(Supermarket_Sales_Case_Study[[#This Row],[Sales_Amount]]-Supermarket_Sales_Case_Study[[#This Row],[Purchase]])/Supermarket_Sales_Case_Study[[#This Row],[Sales_Amount]]</f>
        <v>0.29999999999999921</v>
      </c>
      <c r="P466">
        <f>Supermarket_Sales_Case_Study[[#This Row],[Quantity]]*Supermarket_Sales_Case_Study[[#This Row],[Sales_Amount]]</f>
        <v>1293.6456122727031</v>
      </c>
    </row>
    <row r="467" spans="1:16" x14ac:dyDescent="0.3">
      <c r="A467" t="s">
        <v>497</v>
      </c>
      <c r="B467" t="s">
        <v>14</v>
      </c>
      <c r="C467" t="s">
        <v>36</v>
      </c>
      <c r="D467">
        <v>1874</v>
      </c>
      <c r="E467" t="s">
        <v>16</v>
      </c>
      <c r="F467" t="s">
        <v>22</v>
      </c>
      <c r="G467" t="s">
        <v>28</v>
      </c>
      <c r="H467" s="1">
        <v>45347</v>
      </c>
      <c r="I467">
        <v>282.58021967124802</v>
      </c>
      <c r="J467">
        <v>8</v>
      </c>
      <c r="K467">
        <v>2260.64175736998</v>
      </c>
      <c r="L467">
        <v>678.19252721099599</v>
      </c>
      <c r="M467" t="s">
        <v>19</v>
      </c>
      <c r="N467">
        <f>Supermarket_Sales_Case_Study[[#This Row],[Sales_Amount]]-Supermarket_Sales_Case_Study[[#This Row],[Profit]]</f>
        <v>1582.4492301589839</v>
      </c>
      <c r="O467" s="2">
        <f>(Supermarket_Sales_Case_Study[[#This Row],[Sales_Amount]]-Supermarket_Sales_Case_Study[[#This Row],[Purchase]])/Supermarket_Sales_Case_Study[[#This Row],[Sales_Amount]]</f>
        <v>0.30000000000000093</v>
      </c>
      <c r="P467">
        <f>Supermarket_Sales_Case_Study[[#This Row],[Quantity]]*Supermarket_Sales_Case_Study[[#This Row],[Sales_Amount]]</f>
        <v>18085.13405895984</v>
      </c>
    </row>
    <row r="468" spans="1:16" x14ac:dyDescent="0.3">
      <c r="A468" t="s">
        <v>498</v>
      </c>
      <c r="B468" t="s">
        <v>21</v>
      </c>
      <c r="C468" t="s">
        <v>15</v>
      </c>
      <c r="D468">
        <v>1358</v>
      </c>
      <c r="E468" t="s">
        <v>26</v>
      </c>
      <c r="F468" t="s">
        <v>17</v>
      </c>
      <c r="G468" t="s">
        <v>33</v>
      </c>
      <c r="H468" s="1">
        <v>45363</v>
      </c>
      <c r="I468">
        <v>156.16109144293401</v>
      </c>
      <c r="J468">
        <v>9</v>
      </c>
      <c r="K468">
        <v>1405.44982298641</v>
      </c>
      <c r="L468">
        <v>421.63494689592301</v>
      </c>
      <c r="M468" t="s">
        <v>19</v>
      </c>
      <c r="N468">
        <f>Supermarket_Sales_Case_Study[[#This Row],[Sales_Amount]]-Supermarket_Sales_Case_Study[[#This Row],[Profit]]</f>
        <v>983.81487609048702</v>
      </c>
      <c r="O468" s="2">
        <f>(Supermarket_Sales_Case_Study[[#This Row],[Sales_Amount]]-Supermarket_Sales_Case_Study[[#This Row],[Purchase]])/Supermarket_Sales_Case_Study[[#This Row],[Sales_Amount]]</f>
        <v>0.3</v>
      </c>
      <c r="P468">
        <f>Supermarket_Sales_Case_Study[[#This Row],[Quantity]]*Supermarket_Sales_Case_Study[[#This Row],[Sales_Amount]]</f>
        <v>12649.04840687769</v>
      </c>
    </row>
    <row r="469" spans="1:16" x14ac:dyDescent="0.3">
      <c r="A469" t="s">
        <v>499</v>
      </c>
      <c r="B469" t="s">
        <v>39</v>
      </c>
      <c r="C469" t="s">
        <v>15</v>
      </c>
      <c r="D469">
        <v>1323</v>
      </c>
      <c r="E469" t="s">
        <v>26</v>
      </c>
      <c r="F469" t="s">
        <v>17</v>
      </c>
      <c r="G469" t="s">
        <v>28</v>
      </c>
      <c r="H469" s="1">
        <v>45342</v>
      </c>
      <c r="I469">
        <v>285.26820102245802</v>
      </c>
      <c r="J469">
        <v>8</v>
      </c>
      <c r="K469">
        <v>2282.14560817966</v>
      </c>
      <c r="L469">
        <v>684.64368245390006</v>
      </c>
      <c r="M469" t="s">
        <v>19</v>
      </c>
      <c r="N469">
        <f>Supermarket_Sales_Case_Study[[#This Row],[Sales_Amount]]-Supermarket_Sales_Case_Study[[#This Row],[Profit]]</f>
        <v>1597.50192572576</v>
      </c>
      <c r="O469" s="2">
        <f>(Supermarket_Sales_Case_Study[[#This Row],[Sales_Amount]]-Supermarket_Sales_Case_Study[[#This Row],[Purchase]])/Supermarket_Sales_Case_Study[[#This Row],[Sales_Amount]]</f>
        <v>0.30000000000000088</v>
      </c>
      <c r="P469">
        <f>Supermarket_Sales_Case_Study[[#This Row],[Quantity]]*Supermarket_Sales_Case_Study[[#This Row],[Sales_Amount]]</f>
        <v>18257.16486543728</v>
      </c>
    </row>
    <row r="470" spans="1:16" x14ac:dyDescent="0.3">
      <c r="A470" t="s">
        <v>500</v>
      </c>
      <c r="B470" t="s">
        <v>21</v>
      </c>
      <c r="C470" t="s">
        <v>15</v>
      </c>
      <c r="D470">
        <v>2349</v>
      </c>
      <c r="E470" t="s">
        <v>16</v>
      </c>
      <c r="F470" t="s">
        <v>17</v>
      </c>
      <c r="G470" t="s">
        <v>28</v>
      </c>
      <c r="H470" s="1">
        <v>45365</v>
      </c>
      <c r="I470">
        <v>251.521251542031</v>
      </c>
      <c r="J470">
        <v>4</v>
      </c>
      <c r="K470">
        <v>1006.08500616812</v>
      </c>
      <c r="L470">
        <v>301.825501850438</v>
      </c>
      <c r="M470" t="s">
        <v>34</v>
      </c>
      <c r="N470">
        <f>Supermarket_Sales_Case_Study[[#This Row],[Sales_Amount]]-Supermarket_Sales_Case_Study[[#This Row],[Profit]]</f>
        <v>704.25950431768206</v>
      </c>
      <c r="O470" s="2">
        <f>(Supermarket_Sales_Case_Study[[#This Row],[Sales_Amount]]-Supermarket_Sales_Case_Study[[#This Row],[Purchase]])/Supermarket_Sales_Case_Study[[#This Row],[Sales_Amount]]</f>
        <v>0.30000000000000193</v>
      </c>
      <c r="P470">
        <f>Supermarket_Sales_Case_Study[[#This Row],[Quantity]]*Supermarket_Sales_Case_Study[[#This Row],[Sales_Amount]]</f>
        <v>4024.34002467248</v>
      </c>
    </row>
    <row r="471" spans="1:16" x14ac:dyDescent="0.3">
      <c r="A471" t="s">
        <v>501</v>
      </c>
      <c r="B471" t="s">
        <v>14</v>
      </c>
      <c r="C471" t="s">
        <v>15</v>
      </c>
      <c r="D471">
        <v>1164</v>
      </c>
      <c r="E471" t="s">
        <v>16</v>
      </c>
      <c r="F471" t="s">
        <v>22</v>
      </c>
      <c r="G471" t="s">
        <v>31</v>
      </c>
      <c r="H471" s="1">
        <v>45334</v>
      </c>
      <c r="I471">
        <v>115.10508355859</v>
      </c>
      <c r="J471">
        <v>1</v>
      </c>
      <c r="K471">
        <v>115.10508355859</v>
      </c>
      <c r="L471">
        <v>34.5315250675771</v>
      </c>
      <c r="M471" t="s">
        <v>24</v>
      </c>
      <c r="N471">
        <f>Supermarket_Sales_Case_Study[[#This Row],[Sales_Amount]]-Supermarket_Sales_Case_Study[[#This Row],[Profit]]</f>
        <v>80.573558491012903</v>
      </c>
      <c r="O471" s="2">
        <f>(Supermarket_Sales_Case_Study[[#This Row],[Sales_Amount]]-Supermarket_Sales_Case_Study[[#This Row],[Purchase]])/Supermarket_Sales_Case_Study[[#This Row],[Sales_Amount]]</f>
        <v>0.30000000000000082</v>
      </c>
      <c r="P471">
        <f>Supermarket_Sales_Case_Study[[#This Row],[Quantity]]*Supermarket_Sales_Case_Study[[#This Row],[Sales_Amount]]</f>
        <v>115.10508355859</v>
      </c>
    </row>
    <row r="472" spans="1:16" x14ac:dyDescent="0.3">
      <c r="A472" t="s">
        <v>502</v>
      </c>
      <c r="B472" t="s">
        <v>14</v>
      </c>
      <c r="C472" t="s">
        <v>30</v>
      </c>
      <c r="D472">
        <v>1797</v>
      </c>
      <c r="E472" t="s">
        <v>16</v>
      </c>
      <c r="F472" t="s">
        <v>22</v>
      </c>
      <c r="G472" t="s">
        <v>23</v>
      </c>
      <c r="H472" s="1">
        <v>45306</v>
      </c>
      <c r="I472">
        <v>260.45601217601802</v>
      </c>
      <c r="J472">
        <v>4</v>
      </c>
      <c r="K472">
        <v>1041.82404870407</v>
      </c>
      <c r="L472">
        <v>312.54721461122199</v>
      </c>
      <c r="M472" t="s">
        <v>34</v>
      </c>
      <c r="N472">
        <f>Supermarket_Sales_Case_Study[[#This Row],[Sales_Amount]]-Supermarket_Sales_Case_Study[[#This Row],[Profit]]</f>
        <v>729.27683409284805</v>
      </c>
      <c r="O472" s="2">
        <f>(Supermarket_Sales_Case_Study[[#This Row],[Sales_Amount]]-Supermarket_Sales_Case_Study[[#This Row],[Purchase]])/Supermarket_Sales_Case_Study[[#This Row],[Sales_Amount]]</f>
        <v>0.30000000000000093</v>
      </c>
      <c r="P472">
        <f>Supermarket_Sales_Case_Study[[#This Row],[Quantity]]*Supermarket_Sales_Case_Study[[#This Row],[Sales_Amount]]</f>
        <v>4167.2961948162801</v>
      </c>
    </row>
    <row r="473" spans="1:16" x14ac:dyDescent="0.3">
      <c r="A473" t="s">
        <v>503</v>
      </c>
      <c r="B473" t="s">
        <v>39</v>
      </c>
      <c r="C473" t="s">
        <v>36</v>
      </c>
      <c r="D473">
        <v>1454</v>
      </c>
      <c r="E473" t="s">
        <v>16</v>
      </c>
      <c r="F473" t="s">
        <v>22</v>
      </c>
      <c r="G473" t="s">
        <v>33</v>
      </c>
      <c r="H473" s="1">
        <v>45329</v>
      </c>
      <c r="I473">
        <v>41.918352418323401</v>
      </c>
      <c r="J473">
        <v>9</v>
      </c>
      <c r="K473">
        <v>377.26517176491001</v>
      </c>
      <c r="L473">
        <v>113.179551529473</v>
      </c>
      <c r="M473" t="s">
        <v>24</v>
      </c>
      <c r="N473">
        <f>Supermarket_Sales_Case_Study[[#This Row],[Sales_Amount]]-Supermarket_Sales_Case_Study[[#This Row],[Profit]]</f>
        <v>264.08562023543698</v>
      </c>
      <c r="O473" s="2">
        <f>(Supermarket_Sales_Case_Study[[#This Row],[Sales_Amount]]-Supermarket_Sales_Case_Study[[#This Row],[Purchase]])/Supermarket_Sales_Case_Study[[#This Row],[Sales_Amount]]</f>
        <v>0.3000000000000001</v>
      </c>
      <c r="P473">
        <f>Supermarket_Sales_Case_Study[[#This Row],[Quantity]]*Supermarket_Sales_Case_Study[[#This Row],[Sales_Amount]]</f>
        <v>3395.3865458841901</v>
      </c>
    </row>
    <row r="474" spans="1:16" x14ac:dyDescent="0.3">
      <c r="A474" t="s">
        <v>504</v>
      </c>
      <c r="B474" t="s">
        <v>14</v>
      </c>
      <c r="C474" t="s">
        <v>15</v>
      </c>
      <c r="D474">
        <v>2176</v>
      </c>
      <c r="E474" t="s">
        <v>26</v>
      </c>
      <c r="F474" t="s">
        <v>17</v>
      </c>
      <c r="G474" t="s">
        <v>31</v>
      </c>
      <c r="H474" s="1">
        <v>45306</v>
      </c>
      <c r="I474">
        <v>278.26368084947399</v>
      </c>
      <c r="J474">
        <v>2</v>
      </c>
      <c r="K474">
        <v>556.52736169894797</v>
      </c>
      <c r="L474">
        <v>166.958208509684</v>
      </c>
      <c r="M474" t="s">
        <v>24</v>
      </c>
      <c r="N474">
        <f>Supermarket_Sales_Case_Study[[#This Row],[Sales_Amount]]-Supermarket_Sales_Case_Study[[#This Row],[Profit]]</f>
        <v>389.56915318926394</v>
      </c>
      <c r="O474" s="2">
        <f>(Supermarket_Sales_Case_Study[[#This Row],[Sales_Amount]]-Supermarket_Sales_Case_Study[[#This Row],[Purchase]])/Supermarket_Sales_Case_Study[[#This Row],[Sales_Amount]]</f>
        <v>0.29999999999999932</v>
      </c>
      <c r="P474">
        <f>Supermarket_Sales_Case_Study[[#This Row],[Quantity]]*Supermarket_Sales_Case_Study[[#This Row],[Sales_Amount]]</f>
        <v>1113.0547233978959</v>
      </c>
    </row>
    <row r="475" spans="1:16" x14ac:dyDescent="0.3">
      <c r="A475" t="s">
        <v>505</v>
      </c>
      <c r="B475" t="s">
        <v>21</v>
      </c>
      <c r="C475" t="s">
        <v>30</v>
      </c>
      <c r="D475">
        <v>2150</v>
      </c>
      <c r="E475" t="s">
        <v>16</v>
      </c>
      <c r="F475" t="s">
        <v>22</v>
      </c>
      <c r="G475" t="s">
        <v>23</v>
      </c>
      <c r="H475" s="1">
        <v>45296</v>
      </c>
      <c r="I475">
        <v>193.17661937403801</v>
      </c>
      <c r="J475">
        <v>3</v>
      </c>
      <c r="K475">
        <v>579.529858122115</v>
      </c>
      <c r="L475">
        <v>173.858957436634</v>
      </c>
      <c r="M475" t="s">
        <v>24</v>
      </c>
      <c r="N475">
        <f>Supermarket_Sales_Case_Study[[#This Row],[Sales_Amount]]-Supermarket_Sales_Case_Study[[#This Row],[Profit]]</f>
        <v>405.670900685481</v>
      </c>
      <c r="O475" s="2">
        <f>(Supermarket_Sales_Case_Study[[#This Row],[Sales_Amount]]-Supermarket_Sales_Case_Study[[#This Row],[Purchase]])/Supermarket_Sales_Case_Study[[#This Row],[Sales_Amount]]</f>
        <v>0.29999999999999916</v>
      </c>
      <c r="P475">
        <f>Supermarket_Sales_Case_Study[[#This Row],[Quantity]]*Supermarket_Sales_Case_Study[[#This Row],[Sales_Amount]]</f>
        <v>1738.589574366345</v>
      </c>
    </row>
    <row r="476" spans="1:16" x14ac:dyDescent="0.3">
      <c r="A476" t="s">
        <v>506</v>
      </c>
      <c r="B476" t="s">
        <v>39</v>
      </c>
      <c r="C476" t="s">
        <v>15</v>
      </c>
      <c r="D476">
        <v>1192</v>
      </c>
      <c r="E476" t="s">
        <v>26</v>
      </c>
      <c r="F476" t="s">
        <v>22</v>
      </c>
      <c r="G476" t="s">
        <v>31</v>
      </c>
      <c r="H476" s="1">
        <v>45374</v>
      </c>
      <c r="I476">
        <v>25.773317071470199</v>
      </c>
      <c r="J476">
        <v>8</v>
      </c>
      <c r="K476">
        <v>206.186536571761</v>
      </c>
      <c r="L476">
        <v>61.855960971528503</v>
      </c>
      <c r="M476" t="s">
        <v>34</v>
      </c>
      <c r="N476">
        <f>Supermarket_Sales_Case_Study[[#This Row],[Sales_Amount]]-Supermarket_Sales_Case_Study[[#This Row],[Profit]]</f>
        <v>144.33057560023249</v>
      </c>
      <c r="O476" s="2">
        <f>(Supermarket_Sales_Case_Study[[#This Row],[Sales_Amount]]-Supermarket_Sales_Case_Study[[#This Row],[Purchase]])/Supermarket_Sales_Case_Study[[#This Row],[Sales_Amount]]</f>
        <v>0.30000000000000099</v>
      </c>
      <c r="P476">
        <f>Supermarket_Sales_Case_Study[[#This Row],[Quantity]]*Supermarket_Sales_Case_Study[[#This Row],[Sales_Amount]]</f>
        <v>1649.492292574088</v>
      </c>
    </row>
    <row r="477" spans="1:16" x14ac:dyDescent="0.3">
      <c r="A477" t="s">
        <v>507</v>
      </c>
      <c r="B477" t="s">
        <v>21</v>
      </c>
      <c r="C477" t="s">
        <v>36</v>
      </c>
      <c r="D477">
        <v>1626</v>
      </c>
      <c r="E477" t="s">
        <v>26</v>
      </c>
      <c r="F477" t="s">
        <v>22</v>
      </c>
      <c r="G477" t="s">
        <v>37</v>
      </c>
      <c r="H477" s="1">
        <v>45345</v>
      </c>
      <c r="I477">
        <v>196.83444985873501</v>
      </c>
      <c r="J477">
        <v>6</v>
      </c>
      <c r="K477">
        <v>1181.00669915241</v>
      </c>
      <c r="L477">
        <v>354.30200974572301</v>
      </c>
      <c r="M477" t="s">
        <v>24</v>
      </c>
      <c r="N477">
        <f>Supermarket_Sales_Case_Study[[#This Row],[Sales_Amount]]-Supermarket_Sales_Case_Study[[#This Row],[Profit]]</f>
        <v>826.70468940668695</v>
      </c>
      <c r="O477" s="2">
        <f>(Supermarket_Sales_Case_Study[[#This Row],[Sales_Amount]]-Supermarket_Sales_Case_Study[[#This Row],[Purchase]])/Supermarket_Sales_Case_Study[[#This Row],[Sales_Amount]]</f>
        <v>0.30000000000000004</v>
      </c>
      <c r="P477">
        <f>Supermarket_Sales_Case_Study[[#This Row],[Quantity]]*Supermarket_Sales_Case_Study[[#This Row],[Sales_Amount]]</f>
        <v>7086.0401949144598</v>
      </c>
    </row>
    <row r="478" spans="1:16" x14ac:dyDescent="0.3">
      <c r="A478" t="s">
        <v>508</v>
      </c>
      <c r="B478" t="s">
        <v>21</v>
      </c>
      <c r="C478" t="s">
        <v>30</v>
      </c>
      <c r="D478">
        <v>1529</v>
      </c>
      <c r="E478" t="s">
        <v>16</v>
      </c>
      <c r="F478" t="s">
        <v>17</v>
      </c>
      <c r="G478" t="s">
        <v>31</v>
      </c>
      <c r="H478" s="1">
        <v>45342</v>
      </c>
      <c r="I478">
        <v>292.53181970197897</v>
      </c>
      <c r="J478">
        <v>8</v>
      </c>
      <c r="K478">
        <v>2340.25455761583</v>
      </c>
      <c r="L478">
        <v>702.07636728474995</v>
      </c>
      <c r="M478" t="s">
        <v>34</v>
      </c>
      <c r="N478">
        <f>Supermarket_Sales_Case_Study[[#This Row],[Sales_Amount]]-Supermarket_Sales_Case_Study[[#This Row],[Profit]]</f>
        <v>1638.17819033108</v>
      </c>
      <c r="O478" s="2">
        <f>(Supermarket_Sales_Case_Study[[#This Row],[Sales_Amount]]-Supermarket_Sales_Case_Study[[#This Row],[Purchase]])/Supermarket_Sales_Case_Study[[#This Row],[Sales_Amount]]</f>
        <v>0.30000000000000043</v>
      </c>
      <c r="P478">
        <f>Supermarket_Sales_Case_Study[[#This Row],[Quantity]]*Supermarket_Sales_Case_Study[[#This Row],[Sales_Amount]]</f>
        <v>18722.03646092664</v>
      </c>
    </row>
    <row r="479" spans="1:16" x14ac:dyDescent="0.3">
      <c r="A479" t="s">
        <v>509</v>
      </c>
      <c r="B479" t="s">
        <v>39</v>
      </c>
      <c r="C479" t="s">
        <v>36</v>
      </c>
      <c r="D479">
        <v>2033</v>
      </c>
      <c r="E479" t="s">
        <v>16</v>
      </c>
      <c r="F479" t="s">
        <v>22</v>
      </c>
      <c r="G479" t="s">
        <v>28</v>
      </c>
      <c r="H479" s="1">
        <v>45301</v>
      </c>
      <c r="I479">
        <v>30.2421898382423</v>
      </c>
      <c r="J479">
        <v>7</v>
      </c>
      <c r="K479">
        <v>211.69532886769599</v>
      </c>
      <c r="L479">
        <v>63.508598660308998</v>
      </c>
      <c r="M479" t="s">
        <v>19</v>
      </c>
      <c r="N479">
        <f>Supermarket_Sales_Case_Study[[#This Row],[Sales_Amount]]-Supermarket_Sales_Case_Study[[#This Row],[Profit]]</f>
        <v>148.186730207387</v>
      </c>
      <c r="O479" s="2">
        <f>(Supermarket_Sales_Case_Study[[#This Row],[Sales_Amount]]-Supermarket_Sales_Case_Study[[#This Row],[Purchase]])/Supermarket_Sales_Case_Study[[#This Row],[Sales_Amount]]</f>
        <v>0.30000000000000093</v>
      </c>
      <c r="P479">
        <f>Supermarket_Sales_Case_Study[[#This Row],[Quantity]]*Supermarket_Sales_Case_Study[[#This Row],[Sales_Amount]]</f>
        <v>1481.867302073872</v>
      </c>
    </row>
    <row r="480" spans="1:16" x14ac:dyDescent="0.3">
      <c r="A480" t="s">
        <v>510</v>
      </c>
      <c r="B480" t="s">
        <v>21</v>
      </c>
      <c r="C480" t="s">
        <v>36</v>
      </c>
      <c r="D480">
        <v>1091</v>
      </c>
      <c r="E480" t="s">
        <v>16</v>
      </c>
      <c r="F480" t="s">
        <v>17</v>
      </c>
      <c r="G480" t="s">
        <v>23</v>
      </c>
      <c r="H480" s="1">
        <v>45303</v>
      </c>
      <c r="I480">
        <v>170.859435836225</v>
      </c>
      <c r="J480">
        <v>5</v>
      </c>
      <c r="K480">
        <v>854.29717918112499</v>
      </c>
      <c r="L480">
        <v>256.28915375433701</v>
      </c>
      <c r="M480" t="s">
        <v>24</v>
      </c>
      <c r="N480">
        <f>Supermarket_Sales_Case_Study[[#This Row],[Sales_Amount]]-Supermarket_Sales_Case_Study[[#This Row],[Profit]]</f>
        <v>598.00802542678798</v>
      </c>
      <c r="O480" s="2">
        <f>(Supermarket_Sales_Case_Study[[#This Row],[Sales_Amount]]-Supermarket_Sales_Case_Study[[#This Row],[Purchase]])/Supermarket_Sales_Case_Study[[#This Row],[Sales_Amount]]</f>
        <v>0.29999999999999943</v>
      </c>
      <c r="P480">
        <f>Supermarket_Sales_Case_Study[[#This Row],[Quantity]]*Supermarket_Sales_Case_Study[[#This Row],[Sales_Amount]]</f>
        <v>4271.4858959056246</v>
      </c>
    </row>
    <row r="481" spans="1:16" x14ac:dyDescent="0.3">
      <c r="A481" t="s">
        <v>511</v>
      </c>
      <c r="B481" t="s">
        <v>14</v>
      </c>
      <c r="C481" t="s">
        <v>30</v>
      </c>
      <c r="D481">
        <v>1138</v>
      </c>
      <c r="E481" t="s">
        <v>26</v>
      </c>
      <c r="F481" t="s">
        <v>22</v>
      </c>
      <c r="G481" t="s">
        <v>33</v>
      </c>
      <c r="H481" s="1">
        <v>45295</v>
      </c>
      <c r="I481">
        <v>226.86036143021801</v>
      </c>
      <c r="J481">
        <v>9</v>
      </c>
      <c r="K481">
        <v>2041.7432528719601</v>
      </c>
      <c r="L481">
        <v>612.52297586158795</v>
      </c>
      <c r="M481" t="s">
        <v>24</v>
      </c>
      <c r="N481">
        <f>Supermarket_Sales_Case_Study[[#This Row],[Sales_Amount]]-Supermarket_Sales_Case_Study[[#This Row],[Profit]]</f>
        <v>1429.2202770103722</v>
      </c>
      <c r="O481" s="2">
        <f>(Supermarket_Sales_Case_Study[[#This Row],[Sales_Amount]]-Supermarket_Sales_Case_Study[[#This Row],[Purchase]])/Supermarket_Sales_Case_Study[[#This Row],[Sales_Amount]]</f>
        <v>0.29999999999999993</v>
      </c>
      <c r="P481">
        <f>Supermarket_Sales_Case_Study[[#This Row],[Quantity]]*Supermarket_Sales_Case_Study[[#This Row],[Sales_Amount]]</f>
        <v>18375.689275847639</v>
      </c>
    </row>
    <row r="482" spans="1:16" x14ac:dyDescent="0.3">
      <c r="A482" t="s">
        <v>512</v>
      </c>
      <c r="B482" t="s">
        <v>21</v>
      </c>
      <c r="C482" t="s">
        <v>30</v>
      </c>
      <c r="D482">
        <v>1480</v>
      </c>
      <c r="E482" t="s">
        <v>16</v>
      </c>
      <c r="F482" t="s">
        <v>17</v>
      </c>
      <c r="G482" t="s">
        <v>33</v>
      </c>
      <c r="H482" s="1">
        <v>45309</v>
      </c>
      <c r="I482">
        <v>244.97499014286399</v>
      </c>
      <c r="J482">
        <v>4</v>
      </c>
      <c r="K482">
        <v>979.89996057145595</v>
      </c>
      <c r="L482">
        <v>293.969988171436</v>
      </c>
      <c r="M482" t="s">
        <v>19</v>
      </c>
      <c r="N482">
        <f>Supermarket_Sales_Case_Study[[#This Row],[Sales_Amount]]-Supermarket_Sales_Case_Study[[#This Row],[Profit]]</f>
        <v>685.92997240002001</v>
      </c>
      <c r="O482" s="2">
        <f>(Supermarket_Sales_Case_Study[[#This Row],[Sales_Amount]]-Supermarket_Sales_Case_Study[[#This Row],[Purchase]])/Supermarket_Sales_Case_Study[[#This Row],[Sales_Amount]]</f>
        <v>0.29999999999999916</v>
      </c>
      <c r="P482">
        <f>Supermarket_Sales_Case_Study[[#This Row],[Quantity]]*Supermarket_Sales_Case_Study[[#This Row],[Sales_Amount]]</f>
        <v>3919.5998422858238</v>
      </c>
    </row>
    <row r="483" spans="1:16" x14ac:dyDescent="0.3">
      <c r="A483" t="s">
        <v>513</v>
      </c>
      <c r="B483" t="s">
        <v>39</v>
      </c>
      <c r="C483" t="s">
        <v>30</v>
      </c>
      <c r="D483">
        <v>1448</v>
      </c>
      <c r="E483" t="s">
        <v>16</v>
      </c>
      <c r="F483" t="s">
        <v>17</v>
      </c>
      <c r="G483" t="s">
        <v>23</v>
      </c>
      <c r="H483" s="1">
        <v>45371</v>
      </c>
      <c r="I483">
        <v>130.00996494303001</v>
      </c>
      <c r="J483">
        <v>6</v>
      </c>
      <c r="K483">
        <v>780.05978965818394</v>
      </c>
      <c r="L483">
        <v>234.017936897455</v>
      </c>
      <c r="M483" t="s">
        <v>19</v>
      </c>
      <c r="N483">
        <f>Supermarket_Sales_Case_Study[[#This Row],[Sales_Amount]]-Supermarket_Sales_Case_Study[[#This Row],[Profit]]</f>
        <v>546.04185276072894</v>
      </c>
      <c r="O483" s="2">
        <f>(Supermarket_Sales_Case_Study[[#This Row],[Sales_Amount]]-Supermarket_Sales_Case_Study[[#This Row],[Purchase]])/Supermarket_Sales_Case_Study[[#This Row],[Sales_Amount]]</f>
        <v>0.29999999999999977</v>
      </c>
      <c r="P483">
        <f>Supermarket_Sales_Case_Study[[#This Row],[Quantity]]*Supermarket_Sales_Case_Study[[#This Row],[Sales_Amount]]</f>
        <v>4680.3587379491037</v>
      </c>
    </row>
    <row r="484" spans="1:16" x14ac:dyDescent="0.3">
      <c r="A484" t="s">
        <v>514</v>
      </c>
      <c r="B484" t="s">
        <v>39</v>
      </c>
      <c r="C484" t="s">
        <v>30</v>
      </c>
      <c r="D484">
        <v>2356</v>
      </c>
      <c r="E484" t="s">
        <v>26</v>
      </c>
      <c r="F484" t="s">
        <v>17</v>
      </c>
      <c r="G484" t="s">
        <v>28</v>
      </c>
      <c r="H484" s="1">
        <v>45327</v>
      </c>
      <c r="I484">
        <v>69.208302158790403</v>
      </c>
      <c r="J484">
        <v>2</v>
      </c>
      <c r="K484">
        <v>138.41660431758001</v>
      </c>
      <c r="L484">
        <v>41.524981295274202</v>
      </c>
      <c r="M484" t="s">
        <v>24</v>
      </c>
      <c r="N484">
        <f>Supermarket_Sales_Case_Study[[#This Row],[Sales_Amount]]-Supermarket_Sales_Case_Study[[#This Row],[Profit]]</f>
        <v>96.891623022305808</v>
      </c>
      <c r="O484" s="2">
        <f>(Supermarket_Sales_Case_Study[[#This Row],[Sales_Amount]]-Supermarket_Sales_Case_Study[[#This Row],[Purchase]])/Supermarket_Sales_Case_Study[[#This Row],[Sales_Amount]]</f>
        <v>0.30000000000000143</v>
      </c>
      <c r="P484">
        <f>Supermarket_Sales_Case_Study[[#This Row],[Quantity]]*Supermarket_Sales_Case_Study[[#This Row],[Sales_Amount]]</f>
        <v>276.83320863516002</v>
      </c>
    </row>
    <row r="485" spans="1:16" x14ac:dyDescent="0.3">
      <c r="A485" t="s">
        <v>515</v>
      </c>
      <c r="B485" t="s">
        <v>39</v>
      </c>
      <c r="C485" t="s">
        <v>30</v>
      </c>
      <c r="D485">
        <v>1868</v>
      </c>
      <c r="E485" t="s">
        <v>16</v>
      </c>
      <c r="F485" t="s">
        <v>22</v>
      </c>
      <c r="G485" t="s">
        <v>18</v>
      </c>
      <c r="H485" s="1">
        <v>45316</v>
      </c>
      <c r="I485">
        <v>22.279260843991299</v>
      </c>
      <c r="J485">
        <v>2</v>
      </c>
      <c r="K485">
        <v>44.558521687982598</v>
      </c>
      <c r="L485">
        <v>13.367556506394701</v>
      </c>
      <c r="M485" t="s">
        <v>19</v>
      </c>
      <c r="N485">
        <f>Supermarket_Sales_Case_Study[[#This Row],[Sales_Amount]]-Supermarket_Sales_Case_Study[[#This Row],[Profit]]</f>
        <v>31.190965181587899</v>
      </c>
      <c r="O485" s="2">
        <f>(Supermarket_Sales_Case_Study[[#This Row],[Sales_Amount]]-Supermarket_Sales_Case_Study[[#This Row],[Purchase]])/Supermarket_Sales_Case_Study[[#This Row],[Sales_Amount]]</f>
        <v>0.29999999999999821</v>
      </c>
      <c r="P485">
        <f>Supermarket_Sales_Case_Study[[#This Row],[Quantity]]*Supermarket_Sales_Case_Study[[#This Row],[Sales_Amount]]</f>
        <v>89.117043375965196</v>
      </c>
    </row>
    <row r="486" spans="1:16" x14ac:dyDescent="0.3">
      <c r="A486" t="s">
        <v>516</v>
      </c>
      <c r="B486" t="s">
        <v>21</v>
      </c>
      <c r="C486" t="s">
        <v>30</v>
      </c>
      <c r="D486">
        <v>1339</v>
      </c>
      <c r="E486" t="s">
        <v>26</v>
      </c>
      <c r="F486" t="s">
        <v>22</v>
      </c>
      <c r="G486" t="s">
        <v>31</v>
      </c>
      <c r="H486" s="1">
        <v>45378</v>
      </c>
      <c r="I486">
        <v>178.12058555819499</v>
      </c>
      <c r="J486">
        <v>2</v>
      </c>
      <c r="K486">
        <v>356.24117111638998</v>
      </c>
      <c r="L486">
        <v>106.872351334917</v>
      </c>
      <c r="M486" t="s">
        <v>34</v>
      </c>
      <c r="N486">
        <f>Supermarket_Sales_Case_Study[[#This Row],[Sales_Amount]]-Supermarket_Sales_Case_Study[[#This Row],[Profit]]</f>
        <v>249.36881978147298</v>
      </c>
      <c r="O486" s="2">
        <f>(Supermarket_Sales_Case_Study[[#This Row],[Sales_Amount]]-Supermarket_Sales_Case_Study[[#This Row],[Purchase]])/Supermarket_Sales_Case_Study[[#This Row],[Sales_Amount]]</f>
        <v>0.3</v>
      </c>
      <c r="P486">
        <f>Supermarket_Sales_Case_Study[[#This Row],[Quantity]]*Supermarket_Sales_Case_Study[[#This Row],[Sales_Amount]]</f>
        <v>712.48234223277996</v>
      </c>
    </row>
    <row r="487" spans="1:16" x14ac:dyDescent="0.3">
      <c r="A487" t="s">
        <v>517</v>
      </c>
      <c r="B487" t="s">
        <v>39</v>
      </c>
      <c r="C487" t="s">
        <v>30</v>
      </c>
      <c r="D487">
        <v>2075</v>
      </c>
      <c r="E487" t="s">
        <v>16</v>
      </c>
      <c r="F487" t="s">
        <v>17</v>
      </c>
      <c r="G487" t="s">
        <v>28</v>
      </c>
      <c r="H487" s="1">
        <v>45367</v>
      </c>
      <c r="I487">
        <v>141.344210377607</v>
      </c>
      <c r="J487">
        <v>7</v>
      </c>
      <c r="K487">
        <v>989.40947264324996</v>
      </c>
      <c r="L487">
        <v>296.822841792975</v>
      </c>
      <c r="M487" t="s">
        <v>34</v>
      </c>
      <c r="N487">
        <f>Supermarket_Sales_Case_Study[[#This Row],[Sales_Amount]]-Supermarket_Sales_Case_Study[[#This Row],[Profit]]</f>
        <v>692.58663085027501</v>
      </c>
      <c r="O487" s="2">
        <f>(Supermarket_Sales_Case_Study[[#This Row],[Sales_Amount]]-Supermarket_Sales_Case_Study[[#This Row],[Purchase]])/Supermarket_Sales_Case_Study[[#This Row],[Sales_Amount]]</f>
        <v>0.29999999999999993</v>
      </c>
      <c r="P487">
        <f>Supermarket_Sales_Case_Study[[#This Row],[Quantity]]*Supermarket_Sales_Case_Study[[#This Row],[Sales_Amount]]</f>
        <v>6925.8663085027492</v>
      </c>
    </row>
    <row r="488" spans="1:16" x14ac:dyDescent="0.3">
      <c r="A488" t="s">
        <v>518</v>
      </c>
      <c r="B488" t="s">
        <v>39</v>
      </c>
      <c r="C488" t="s">
        <v>15</v>
      </c>
      <c r="D488">
        <v>1465</v>
      </c>
      <c r="E488" t="s">
        <v>26</v>
      </c>
      <c r="F488" t="s">
        <v>17</v>
      </c>
      <c r="G488" t="s">
        <v>37</v>
      </c>
      <c r="H488" s="1">
        <v>45327</v>
      </c>
      <c r="I488">
        <v>285.13587459341602</v>
      </c>
      <c r="J488">
        <v>2</v>
      </c>
      <c r="K488">
        <v>570.27174918683204</v>
      </c>
      <c r="L488">
        <v>171.08152475604899</v>
      </c>
      <c r="M488" t="s">
        <v>24</v>
      </c>
      <c r="N488">
        <f>Supermarket_Sales_Case_Study[[#This Row],[Sales_Amount]]-Supermarket_Sales_Case_Study[[#This Row],[Profit]]</f>
        <v>399.19022443078302</v>
      </c>
      <c r="O488" s="2">
        <f>(Supermarket_Sales_Case_Study[[#This Row],[Sales_Amount]]-Supermarket_Sales_Case_Study[[#This Row],[Purchase]])/Supermarket_Sales_Case_Study[[#This Row],[Sales_Amount]]</f>
        <v>0.29999999999999899</v>
      </c>
      <c r="P488">
        <f>Supermarket_Sales_Case_Study[[#This Row],[Quantity]]*Supermarket_Sales_Case_Study[[#This Row],[Sales_Amount]]</f>
        <v>1140.5434983736641</v>
      </c>
    </row>
    <row r="489" spans="1:16" x14ac:dyDescent="0.3">
      <c r="A489" t="s">
        <v>519</v>
      </c>
      <c r="B489" t="s">
        <v>21</v>
      </c>
      <c r="C489" t="s">
        <v>36</v>
      </c>
      <c r="D489">
        <v>1717</v>
      </c>
      <c r="E489" t="s">
        <v>16</v>
      </c>
      <c r="F489" t="s">
        <v>22</v>
      </c>
      <c r="G489" t="s">
        <v>23</v>
      </c>
      <c r="H489" s="1">
        <v>45358</v>
      </c>
      <c r="I489">
        <v>27.5754232373238</v>
      </c>
      <c r="J489">
        <v>2</v>
      </c>
      <c r="K489">
        <v>55.150846474647601</v>
      </c>
      <c r="L489">
        <v>16.5452539423943</v>
      </c>
      <c r="M489" t="s">
        <v>34</v>
      </c>
      <c r="N489">
        <f>Supermarket_Sales_Case_Study[[#This Row],[Sales_Amount]]-Supermarket_Sales_Case_Study[[#This Row],[Profit]]</f>
        <v>38.605592532253297</v>
      </c>
      <c r="O489" s="2">
        <f>(Supermarket_Sales_Case_Study[[#This Row],[Sales_Amount]]-Supermarket_Sales_Case_Study[[#This Row],[Purchase]])/Supermarket_Sales_Case_Study[[#This Row],[Sales_Amount]]</f>
        <v>0.30000000000000043</v>
      </c>
      <c r="P489">
        <f>Supermarket_Sales_Case_Study[[#This Row],[Quantity]]*Supermarket_Sales_Case_Study[[#This Row],[Sales_Amount]]</f>
        <v>110.3016929492952</v>
      </c>
    </row>
    <row r="490" spans="1:16" x14ac:dyDescent="0.3">
      <c r="A490" t="s">
        <v>520</v>
      </c>
      <c r="B490" t="s">
        <v>14</v>
      </c>
      <c r="C490" t="s">
        <v>30</v>
      </c>
      <c r="D490">
        <v>1798</v>
      </c>
      <c r="E490" t="s">
        <v>16</v>
      </c>
      <c r="F490" t="s">
        <v>22</v>
      </c>
      <c r="G490" t="s">
        <v>31</v>
      </c>
      <c r="H490" s="1">
        <v>45300</v>
      </c>
      <c r="I490">
        <v>208.764649599341</v>
      </c>
      <c r="J490">
        <v>9</v>
      </c>
      <c r="K490">
        <v>1878.88184639407</v>
      </c>
      <c r="L490">
        <v>563.66455391822205</v>
      </c>
      <c r="M490" t="s">
        <v>34</v>
      </c>
      <c r="N490">
        <f>Supermarket_Sales_Case_Study[[#This Row],[Sales_Amount]]-Supermarket_Sales_Case_Study[[#This Row],[Profit]]</f>
        <v>1315.2172924758479</v>
      </c>
      <c r="O490" s="2">
        <f>(Supermarket_Sales_Case_Study[[#This Row],[Sales_Amount]]-Supermarket_Sales_Case_Study[[#This Row],[Purchase]])/Supermarket_Sales_Case_Study[[#This Row],[Sales_Amount]]</f>
        <v>0.30000000000000054</v>
      </c>
      <c r="P490">
        <f>Supermarket_Sales_Case_Study[[#This Row],[Quantity]]*Supermarket_Sales_Case_Study[[#This Row],[Sales_Amount]]</f>
        <v>16909.936617546631</v>
      </c>
    </row>
    <row r="491" spans="1:16" x14ac:dyDescent="0.3">
      <c r="A491" t="s">
        <v>521</v>
      </c>
      <c r="B491" t="s">
        <v>21</v>
      </c>
      <c r="C491" t="s">
        <v>15</v>
      </c>
      <c r="D491">
        <v>1474</v>
      </c>
      <c r="E491" t="s">
        <v>26</v>
      </c>
      <c r="F491" t="s">
        <v>17</v>
      </c>
      <c r="G491" t="s">
        <v>33</v>
      </c>
      <c r="H491" s="1">
        <v>45352</v>
      </c>
      <c r="I491">
        <v>17.2402044148165</v>
      </c>
      <c r="J491">
        <v>7</v>
      </c>
      <c r="K491">
        <v>120.68143090371601</v>
      </c>
      <c r="L491">
        <v>36.204429271114797</v>
      </c>
      <c r="M491" t="s">
        <v>24</v>
      </c>
      <c r="N491">
        <f>Supermarket_Sales_Case_Study[[#This Row],[Sales_Amount]]-Supermarket_Sales_Case_Study[[#This Row],[Profit]]</f>
        <v>84.477001632601201</v>
      </c>
      <c r="O491" s="2">
        <f>(Supermarket_Sales_Case_Study[[#This Row],[Sales_Amount]]-Supermarket_Sales_Case_Study[[#This Row],[Purchase]])/Supermarket_Sales_Case_Study[[#This Row],[Sales_Amount]]</f>
        <v>0.30000000000000004</v>
      </c>
      <c r="P491">
        <f>Supermarket_Sales_Case_Study[[#This Row],[Quantity]]*Supermarket_Sales_Case_Study[[#This Row],[Sales_Amount]]</f>
        <v>844.77001632601207</v>
      </c>
    </row>
    <row r="492" spans="1:16" x14ac:dyDescent="0.3">
      <c r="A492" t="s">
        <v>522</v>
      </c>
      <c r="B492" t="s">
        <v>39</v>
      </c>
      <c r="C492" t="s">
        <v>15</v>
      </c>
      <c r="D492">
        <v>1400</v>
      </c>
      <c r="E492" t="s">
        <v>26</v>
      </c>
      <c r="F492" t="s">
        <v>22</v>
      </c>
      <c r="G492" t="s">
        <v>18</v>
      </c>
      <c r="H492" s="1">
        <v>45344</v>
      </c>
      <c r="I492">
        <v>59.715911246057303</v>
      </c>
      <c r="J492">
        <v>3</v>
      </c>
      <c r="K492">
        <v>179.14773373817201</v>
      </c>
      <c r="L492">
        <v>53.744320121451601</v>
      </c>
      <c r="M492" t="s">
        <v>19</v>
      </c>
      <c r="N492">
        <f>Supermarket_Sales_Case_Study[[#This Row],[Sales_Amount]]-Supermarket_Sales_Case_Study[[#This Row],[Profit]]</f>
        <v>125.4034136167204</v>
      </c>
      <c r="O492" s="2">
        <f>(Supermarket_Sales_Case_Study[[#This Row],[Sales_Amount]]-Supermarket_Sales_Case_Study[[#This Row],[Purchase]])/Supermarket_Sales_Case_Study[[#This Row],[Sales_Amount]]</f>
        <v>0.30000000000000004</v>
      </c>
      <c r="P492">
        <f>Supermarket_Sales_Case_Study[[#This Row],[Quantity]]*Supermarket_Sales_Case_Study[[#This Row],[Sales_Amount]]</f>
        <v>537.44320121451597</v>
      </c>
    </row>
    <row r="493" spans="1:16" x14ac:dyDescent="0.3">
      <c r="A493" t="s">
        <v>523</v>
      </c>
      <c r="B493" t="s">
        <v>39</v>
      </c>
      <c r="C493" t="s">
        <v>15</v>
      </c>
      <c r="D493">
        <v>2462</v>
      </c>
      <c r="E493" t="s">
        <v>16</v>
      </c>
      <c r="F493" t="s">
        <v>22</v>
      </c>
      <c r="G493" t="s">
        <v>37</v>
      </c>
      <c r="H493" s="1">
        <v>45309</v>
      </c>
      <c r="I493">
        <v>141.53790997762101</v>
      </c>
      <c r="J493">
        <v>3</v>
      </c>
      <c r="K493">
        <v>424.613729932865</v>
      </c>
      <c r="L493">
        <v>127.384118979859</v>
      </c>
      <c r="M493" t="s">
        <v>24</v>
      </c>
      <c r="N493">
        <f>Supermarket_Sales_Case_Study[[#This Row],[Sales_Amount]]-Supermarket_Sales_Case_Study[[#This Row],[Profit]]</f>
        <v>297.22961095300599</v>
      </c>
      <c r="O493" s="2">
        <f>(Supermarket_Sales_Case_Study[[#This Row],[Sales_Amount]]-Supermarket_Sales_Case_Study[[#This Row],[Purchase]])/Supermarket_Sales_Case_Study[[#This Row],[Sales_Amount]]</f>
        <v>0.29999999999999882</v>
      </c>
      <c r="P493">
        <f>Supermarket_Sales_Case_Study[[#This Row],[Quantity]]*Supermarket_Sales_Case_Study[[#This Row],[Sales_Amount]]</f>
        <v>1273.841189798595</v>
      </c>
    </row>
    <row r="494" spans="1:16" x14ac:dyDescent="0.3">
      <c r="A494" t="s">
        <v>524</v>
      </c>
      <c r="B494" t="s">
        <v>21</v>
      </c>
      <c r="C494" t="s">
        <v>36</v>
      </c>
      <c r="D494">
        <v>1604</v>
      </c>
      <c r="E494" t="s">
        <v>26</v>
      </c>
      <c r="F494" t="s">
        <v>22</v>
      </c>
      <c r="G494" t="s">
        <v>33</v>
      </c>
      <c r="H494" s="1">
        <v>45334</v>
      </c>
      <c r="I494">
        <v>141.913008412831</v>
      </c>
      <c r="J494">
        <v>7</v>
      </c>
      <c r="K494">
        <v>993.39105888982203</v>
      </c>
      <c r="L494">
        <v>298.01731766694598</v>
      </c>
      <c r="M494" t="s">
        <v>34</v>
      </c>
      <c r="N494">
        <f>Supermarket_Sales_Case_Study[[#This Row],[Sales_Amount]]-Supermarket_Sales_Case_Study[[#This Row],[Profit]]</f>
        <v>695.37374122287611</v>
      </c>
      <c r="O494" s="2">
        <f>(Supermarket_Sales_Case_Study[[#This Row],[Sales_Amount]]-Supermarket_Sales_Case_Study[[#This Row],[Purchase]])/Supermarket_Sales_Case_Study[[#This Row],[Sales_Amount]]</f>
        <v>0.29999999999999932</v>
      </c>
      <c r="P494">
        <f>Supermarket_Sales_Case_Study[[#This Row],[Quantity]]*Supermarket_Sales_Case_Study[[#This Row],[Sales_Amount]]</f>
        <v>6953.7374122287547</v>
      </c>
    </row>
    <row r="495" spans="1:16" x14ac:dyDescent="0.3">
      <c r="A495" t="s">
        <v>525</v>
      </c>
      <c r="B495" t="s">
        <v>14</v>
      </c>
      <c r="C495" t="s">
        <v>30</v>
      </c>
      <c r="D495">
        <v>1931</v>
      </c>
      <c r="E495" t="s">
        <v>26</v>
      </c>
      <c r="F495" t="s">
        <v>22</v>
      </c>
      <c r="G495" t="s">
        <v>23</v>
      </c>
      <c r="H495" s="1">
        <v>45326</v>
      </c>
      <c r="I495">
        <v>208.85315745075599</v>
      </c>
      <c r="J495">
        <v>5</v>
      </c>
      <c r="K495">
        <v>1044.26578725378</v>
      </c>
      <c r="L495">
        <v>313.27973617613497</v>
      </c>
      <c r="M495" t="s">
        <v>24</v>
      </c>
      <c r="N495">
        <f>Supermarket_Sales_Case_Study[[#This Row],[Sales_Amount]]-Supermarket_Sales_Case_Study[[#This Row],[Profit]]</f>
        <v>730.98605107764502</v>
      </c>
      <c r="O495" s="2">
        <f>(Supermarket_Sales_Case_Study[[#This Row],[Sales_Amount]]-Supermarket_Sales_Case_Study[[#This Row],[Purchase]])/Supermarket_Sales_Case_Study[[#This Row],[Sales_Amount]]</f>
        <v>0.30000000000000093</v>
      </c>
      <c r="P495">
        <f>Supermarket_Sales_Case_Study[[#This Row],[Quantity]]*Supermarket_Sales_Case_Study[[#This Row],[Sales_Amount]]</f>
        <v>5221.3289362689002</v>
      </c>
    </row>
    <row r="496" spans="1:16" x14ac:dyDescent="0.3">
      <c r="A496" t="s">
        <v>526</v>
      </c>
      <c r="B496" t="s">
        <v>39</v>
      </c>
      <c r="C496" t="s">
        <v>15</v>
      </c>
      <c r="D496">
        <v>1996</v>
      </c>
      <c r="E496" t="s">
        <v>26</v>
      </c>
      <c r="F496" t="s">
        <v>17</v>
      </c>
      <c r="G496" t="s">
        <v>31</v>
      </c>
      <c r="H496" s="1">
        <v>45354</v>
      </c>
      <c r="I496">
        <v>273.96178011164898</v>
      </c>
      <c r="J496">
        <v>6</v>
      </c>
      <c r="K496">
        <v>1643.77068066989</v>
      </c>
      <c r="L496">
        <v>493.131204200968</v>
      </c>
      <c r="M496" t="s">
        <v>24</v>
      </c>
      <c r="N496">
        <f>Supermarket_Sales_Case_Study[[#This Row],[Sales_Amount]]-Supermarket_Sales_Case_Study[[#This Row],[Profit]]</f>
        <v>1150.6394764689221</v>
      </c>
      <c r="O496" s="2">
        <f>(Supermarket_Sales_Case_Study[[#This Row],[Sales_Amount]]-Supermarket_Sales_Case_Study[[#This Row],[Purchase]])/Supermarket_Sales_Case_Study[[#This Row],[Sales_Amount]]</f>
        <v>0.30000000000000054</v>
      </c>
      <c r="P496">
        <f>Supermarket_Sales_Case_Study[[#This Row],[Quantity]]*Supermarket_Sales_Case_Study[[#This Row],[Sales_Amount]]</f>
        <v>9862.6240840193404</v>
      </c>
    </row>
    <row r="497" spans="1:16" x14ac:dyDescent="0.3">
      <c r="A497" t="s">
        <v>527</v>
      </c>
      <c r="B497" t="s">
        <v>39</v>
      </c>
      <c r="C497" t="s">
        <v>36</v>
      </c>
      <c r="D497">
        <v>1921</v>
      </c>
      <c r="E497" t="s">
        <v>26</v>
      </c>
      <c r="F497" t="s">
        <v>22</v>
      </c>
      <c r="G497" t="s">
        <v>23</v>
      </c>
      <c r="H497" s="1">
        <v>45369</v>
      </c>
      <c r="I497">
        <v>195.31932608532699</v>
      </c>
      <c r="J497">
        <v>8</v>
      </c>
      <c r="K497">
        <v>1562.55460868261</v>
      </c>
      <c r="L497">
        <v>468.76638260478398</v>
      </c>
      <c r="M497" t="s">
        <v>34</v>
      </c>
      <c r="N497">
        <f>Supermarket_Sales_Case_Study[[#This Row],[Sales_Amount]]-Supermarket_Sales_Case_Study[[#This Row],[Profit]]</f>
        <v>1093.788226077826</v>
      </c>
      <c r="O497" s="2">
        <f>(Supermarket_Sales_Case_Study[[#This Row],[Sales_Amount]]-Supermarket_Sales_Case_Study[[#This Row],[Purchase]])/Supermarket_Sales_Case_Study[[#This Row],[Sales_Amount]]</f>
        <v>0.3000000000000006</v>
      </c>
      <c r="P497">
        <f>Supermarket_Sales_Case_Study[[#This Row],[Quantity]]*Supermarket_Sales_Case_Study[[#This Row],[Sales_Amount]]</f>
        <v>12500.43686946088</v>
      </c>
    </row>
    <row r="498" spans="1:16" x14ac:dyDescent="0.3">
      <c r="A498" t="s">
        <v>528</v>
      </c>
      <c r="B498" t="s">
        <v>39</v>
      </c>
      <c r="C498" t="s">
        <v>36</v>
      </c>
      <c r="D498">
        <v>1820</v>
      </c>
      <c r="E498" t="s">
        <v>16</v>
      </c>
      <c r="F498" t="s">
        <v>22</v>
      </c>
      <c r="G498" t="s">
        <v>31</v>
      </c>
      <c r="H498" s="1">
        <v>45295</v>
      </c>
      <c r="I498">
        <v>286.52517837693699</v>
      </c>
      <c r="J498">
        <v>9</v>
      </c>
      <c r="K498">
        <v>2578.72660539243</v>
      </c>
      <c r="L498">
        <v>773.61798161773095</v>
      </c>
      <c r="M498" t="s">
        <v>34</v>
      </c>
      <c r="N498">
        <f>Supermarket_Sales_Case_Study[[#This Row],[Sales_Amount]]-Supermarket_Sales_Case_Study[[#This Row],[Profit]]</f>
        <v>1805.108623774699</v>
      </c>
      <c r="O498" s="2">
        <f>(Supermarket_Sales_Case_Study[[#This Row],[Sales_Amount]]-Supermarket_Sales_Case_Study[[#This Row],[Purchase]])/Supermarket_Sales_Case_Study[[#This Row],[Sales_Amount]]</f>
        <v>0.30000000000000077</v>
      </c>
      <c r="P498">
        <f>Supermarket_Sales_Case_Study[[#This Row],[Quantity]]*Supermarket_Sales_Case_Study[[#This Row],[Sales_Amount]]</f>
        <v>23208.539448531868</v>
      </c>
    </row>
    <row r="499" spans="1:16" x14ac:dyDescent="0.3">
      <c r="A499" t="s">
        <v>529</v>
      </c>
      <c r="B499" t="s">
        <v>21</v>
      </c>
      <c r="C499" t="s">
        <v>36</v>
      </c>
      <c r="D499">
        <v>1656</v>
      </c>
      <c r="E499" t="s">
        <v>16</v>
      </c>
      <c r="F499" t="s">
        <v>17</v>
      </c>
      <c r="G499" t="s">
        <v>28</v>
      </c>
      <c r="H499" s="1">
        <v>45332</v>
      </c>
      <c r="I499">
        <v>265.66853556461899</v>
      </c>
      <c r="J499">
        <v>1</v>
      </c>
      <c r="K499">
        <v>265.66853556461899</v>
      </c>
      <c r="L499">
        <v>79.700560669385794</v>
      </c>
      <c r="M499" t="s">
        <v>24</v>
      </c>
      <c r="N499">
        <f>Supermarket_Sales_Case_Study[[#This Row],[Sales_Amount]]-Supermarket_Sales_Case_Study[[#This Row],[Profit]]</f>
        <v>185.9679748952332</v>
      </c>
      <c r="O499" s="2">
        <f>(Supermarket_Sales_Case_Study[[#This Row],[Sales_Amount]]-Supermarket_Sales_Case_Study[[#This Row],[Purchase]])/Supermarket_Sales_Case_Study[[#This Row],[Sales_Amount]]</f>
        <v>0.30000000000000038</v>
      </c>
      <c r="P499">
        <f>Supermarket_Sales_Case_Study[[#This Row],[Quantity]]*Supermarket_Sales_Case_Study[[#This Row],[Sales_Amount]]</f>
        <v>265.66853556461899</v>
      </c>
    </row>
    <row r="500" spans="1:16" x14ac:dyDescent="0.3">
      <c r="A500" t="s">
        <v>530</v>
      </c>
      <c r="B500" t="s">
        <v>39</v>
      </c>
      <c r="C500" t="s">
        <v>15</v>
      </c>
      <c r="D500">
        <v>1597</v>
      </c>
      <c r="E500" t="s">
        <v>26</v>
      </c>
      <c r="F500" t="s">
        <v>17</v>
      </c>
      <c r="G500" t="s">
        <v>18</v>
      </c>
      <c r="H500" s="1">
        <v>45336</v>
      </c>
      <c r="I500">
        <v>179.50494070392901</v>
      </c>
      <c r="J500">
        <v>3</v>
      </c>
      <c r="K500">
        <v>538.514822111787</v>
      </c>
      <c r="L500">
        <v>161.554446633536</v>
      </c>
      <c r="M500" t="s">
        <v>34</v>
      </c>
      <c r="N500">
        <f>Supermarket_Sales_Case_Study[[#This Row],[Sales_Amount]]-Supermarket_Sales_Case_Study[[#This Row],[Profit]]</f>
        <v>376.96037547825097</v>
      </c>
      <c r="O500" s="2">
        <f>(Supermarket_Sales_Case_Study[[#This Row],[Sales_Amount]]-Supermarket_Sales_Case_Study[[#This Row],[Purchase]])/Supermarket_Sales_Case_Study[[#This Row],[Sales_Amount]]</f>
        <v>0.29999999999999988</v>
      </c>
      <c r="P500">
        <f>Supermarket_Sales_Case_Study[[#This Row],[Quantity]]*Supermarket_Sales_Case_Study[[#This Row],[Sales_Amount]]</f>
        <v>1615.544466335361</v>
      </c>
    </row>
    <row r="501" spans="1:16" x14ac:dyDescent="0.3">
      <c r="A501" t="s">
        <v>531</v>
      </c>
      <c r="B501" t="s">
        <v>14</v>
      </c>
      <c r="C501" t="s">
        <v>30</v>
      </c>
      <c r="D501">
        <v>2176</v>
      </c>
      <c r="E501" t="s">
        <v>26</v>
      </c>
      <c r="F501" t="s">
        <v>22</v>
      </c>
      <c r="G501" t="s">
        <v>28</v>
      </c>
      <c r="H501" s="1">
        <v>45341</v>
      </c>
      <c r="I501">
        <v>251.79966576645899</v>
      </c>
      <c r="J501">
        <v>7</v>
      </c>
      <c r="K501">
        <v>1762.59766036521</v>
      </c>
      <c r="L501">
        <v>528.77929810956505</v>
      </c>
      <c r="M501" t="s">
        <v>34</v>
      </c>
      <c r="N501">
        <f>Supermarket_Sales_Case_Study[[#This Row],[Sales_Amount]]-Supermarket_Sales_Case_Study[[#This Row],[Profit]]</f>
        <v>1233.8183622556448</v>
      </c>
      <c r="O501" s="2">
        <f>(Supermarket_Sales_Case_Study[[#This Row],[Sales_Amount]]-Supermarket_Sales_Case_Study[[#This Row],[Purchase]])/Supermarket_Sales_Case_Study[[#This Row],[Sales_Amount]]</f>
        <v>0.30000000000000121</v>
      </c>
      <c r="P501">
        <f>Supermarket_Sales_Case_Study[[#This Row],[Quantity]]*Supermarket_Sales_Case_Study[[#This Row],[Sales_Amount]]</f>
        <v>12338.183622556469</v>
      </c>
    </row>
    <row r="502" spans="1:16" x14ac:dyDescent="0.3">
      <c r="A502" t="s">
        <v>532</v>
      </c>
      <c r="B502" t="s">
        <v>39</v>
      </c>
      <c r="C502" t="s">
        <v>15</v>
      </c>
      <c r="D502">
        <v>1513</v>
      </c>
      <c r="E502" t="s">
        <v>26</v>
      </c>
      <c r="F502" t="s">
        <v>22</v>
      </c>
      <c r="G502" t="s">
        <v>28</v>
      </c>
      <c r="H502" s="1">
        <v>45370</v>
      </c>
      <c r="I502">
        <v>196.34750699385299</v>
      </c>
      <c r="J502">
        <v>6</v>
      </c>
      <c r="K502">
        <v>1178.0850419631199</v>
      </c>
      <c r="L502">
        <v>353.42551258893701</v>
      </c>
      <c r="M502" t="s">
        <v>34</v>
      </c>
      <c r="N502">
        <f>Supermarket_Sales_Case_Study[[#This Row],[Sales_Amount]]-Supermarket_Sales_Case_Study[[#This Row],[Profit]]</f>
        <v>824.65952937418297</v>
      </c>
      <c r="O502" s="2">
        <f>(Supermarket_Sales_Case_Study[[#This Row],[Sales_Amount]]-Supermarket_Sales_Case_Study[[#This Row],[Purchase]])/Supermarket_Sales_Case_Study[[#This Row],[Sales_Amount]]</f>
        <v>0.30000000000000082</v>
      </c>
      <c r="P502">
        <f>Supermarket_Sales_Case_Study[[#This Row],[Quantity]]*Supermarket_Sales_Case_Study[[#This Row],[Sales_Amount]]</f>
        <v>7068.51025177872</v>
      </c>
    </row>
    <row r="503" spans="1:16" x14ac:dyDescent="0.3">
      <c r="A503" t="s">
        <v>533</v>
      </c>
      <c r="B503" t="s">
        <v>39</v>
      </c>
      <c r="C503" t="s">
        <v>15</v>
      </c>
      <c r="D503">
        <v>2029</v>
      </c>
      <c r="E503" t="s">
        <v>26</v>
      </c>
      <c r="F503" t="s">
        <v>22</v>
      </c>
      <c r="G503" t="s">
        <v>23</v>
      </c>
      <c r="H503" s="1">
        <v>45319</v>
      </c>
      <c r="I503">
        <v>32.781770967880803</v>
      </c>
      <c r="J503">
        <v>7</v>
      </c>
      <c r="K503">
        <v>229.472396775166</v>
      </c>
      <c r="L503">
        <v>68.841719032549804</v>
      </c>
      <c r="M503" t="s">
        <v>34</v>
      </c>
      <c r="N503">
        <f>Supermarket_Sales_Case_Study[[#This Row],[Sales_Amount]]-Supermarket_Sales_Case_Study[[#This Row],[Profit]]</f>
        <v>160.6306777426162</v>
      </c>
      <c r="O503" s="2">
        <f>(Supermarket_Sales_Case_Study[[#This Row],[Sales_Amount]]-Supermarket_Sales_Case_Study[[#This Row],[Purchase]])/Supermarket_Sales_Case_Study[[#This Row],[Sales_Amount]]</f>
        <v>0.3</v>
      </c>
      <c r="P503">
        <f>Supermarket_Sales_Case_Study[[#This Row],[Quantity]]*Supermarket_Sales_Case_Study[[#This Row],[Sales_Amount]]</f>
        <v>1606.3067774261619</v>
      </c>
    </row>
    <row r="504" spans="1:16" x14ac:dyDescent="0.3">
      <c r="A504" t="s">
        <v>534</v>
      </c>
      <c r="B504" t="s">
        <v>14</v>
      </c>
      <c r="C504" t="s">
        <v>30</v>
      </c>
      <c r="D504">
        <v>1499</v>
      </c>
      <c r="E504" t="s">
        <v>16</v>
      </c>
      <c r="F504" t="s">
        <v>22</v>
      </c>
      <c r="G504" t="s">
        <v>18</v>
      </c>
      <c r="H504" s="1">
        <v>45333</v>
      </c>
      <c r="I504">
        <v>224.76376974525701</v>
      </c>
      <c r="J504">
        <v>8</v>
      </c>
      <c r="K504">
        <v>1798.1101579620599</v>
      </c>
      <c r="L504">
        <v>539.43304738861798</v>
      </c>
      <c r="M504" t="s">
        <v>34</v>
      </c>
      <c r="N504">
        <f>Supermarket_Sales_Case_Study[[#This Row],[Sales_Amount]]-Supermarket_Sales_Case_Study[[#This Row],[Profit]]</f>
        <v>1258.677110573442</v>
      </c>
      <c r="O504" s="2">
        <f>(Supermarket_Sales_Case_Study[[#This Row],[Sales_Amount]]-Supermarket_Sales_Case_Study[[#This Row],[Purchase]])/Supermarket_Sales_Case_Study[[#This Row],[Sales_Amount]]</f>
        <v>0.3</v>
      </c>
      <c r="P504">
        <f>Supermarket_Sales_Case_Study[[#This Row],[Quantity]]*Supermarket_Sales_Case_Study[[#This Row],[Sales_Amount]]</f>
        <v>14384.881263696479</v>
      </c>
    </row>
    <row r="505" spans="1:16" x14ac:dyDescent="0.3">
      <c r="A505" t="s">
        <v>535</v>
      </c>
      <c r="B505" t="s">
        <v>39</v>
      </c>
      <c r="C505" t="s">
        <v>30</v>
      </c>
      <c r="D505">
        <v>1716</v>
      </c>
      <c r="E505" t="s">
        <v>16</v>
      </c>
      <c r="F505" t="s">
        <v>17</v>
      </c>
      <c r="G505" t="s">
        <v>31</v>
      </c>
      <c r="H505" s="1">
        <v>45371</v>
      </c>
      <c r="I505">
        <v>37.523447967530402</v>
      </c>
      <c r="J505">
        <v>6</v>
      </c>
      <c r="K505">
        <v>225.14068780518201</v>
      </c>
      <c r="L505">
        <v>67.542206341554703</v>
      </c>
      <c r="M505" t="s">
        <v>34</v>
      </c>
      <c r="N505">
        <f>Supermarket_Sales_Case_Study[[#This Row],[Sales_Amount]]-Supermarket_Sales_Case_Study[[#This Row],[Profit]]</f>
        <v>157.59848146362731</v>
      </c>
      <c r="O505" s="2">
        <f>(Supermarket_Sales_Case_Study[[#This Row],[Sales_Amount]]-Supermarket_Sales_Case_Study[[#This Row],[Purchase]])/Supermarket_Sales_Case_Study[[#This Row],[Sales_Amount]]</f>
        <v>0.30000000000000043</v>
      </c>
      <c r="P505">
        <f>Supermarket_Sales_Case_Study[[#This Row],[Quantity]]*Supermarket_Sales_Case_Study[[#This Row],[Sales_Amount]]</f>
        <v>1350.8441268310921</v>
      </c>
    </row>
    <row r="506" spans="1:16" x14ac:dyDescent="0.3">
      <c r="A506" t="s">
        <v>536</v>
      </c>
      <c r="B506" t="s">
        <v>21</v>
      </c>
      <c r="C506" t="s">
        <v>30</v>
      </c>
      <c r="D506">
        <v>2141</v>
      </c>
      <c r="E506" t="s">
        <v>26</v>
      </c>
      <c r="F506" t="s">
        <v>17</v>
      </c>
      <c r="G506" t="s">
        <v>31</v>
      </c>
      <c r="H506" s="1">
        <v>45367</v>
      </c>
      <c r="I506">
        <v>182.28400636521599</v>
      </c>
      <c r="J506">
        <v>3</v>
      </c>
      <c r="K506">
        <v>546.85201909564898</v>
      </c>
      <c r="L506">
        <v>164.05560572869399</v>
      </c>
      <c r="M506" t="s">
        <v>19</v>
      </c>
      <c r="N506">
        <f>Supermarket_Sales_Case_Study[[#This Row],[Sales_Amount]]-Supermarket_Sales_Case_Study[[#This Row],[Profit]]</f>
        <v>382.79641336695499</v>
      </c>
      <c r="O506" s="2">
        <f>(Supermarket_Sales_Case_Study[[#This Row],[Sales_Amount]]-Supermarket_Sales_Case_Study[[#This Row],[Purchase]])/Supermarket_Sales_Case_Study[[#This Row],[Sales_Amount]]</f>
        <v>0.29999999999999871</v>
      </c>
      <c r="P506">
        <f>Supermarket_Sales_Case_Study[[#This Row],[Quantity]]*Supermarket_Sales_Case_Study[[#This Row],[Sales_Amount]]</f>
        <v>1640.556057286947</v>
      </c>
    </row>
    <row r="507" spans="1:16" x14ac:dyDescent="0.3">
      <c r="A507" t="s">
        <v>537</v>
      </c>
      <c r="B507" t="s">
        <v>21</v>
      </c>
      <c r="C507" t="s">
        <v>36</v>
      </c>
      <c r="D507">
        <v>1600</v>
      </c>
      <c r="E507" t="s">
        <v>26</v>
      </c>
      <c r="F507" t="s">
        <v>17</v>
      </c>
      <c r="G507" t="s">
        <v>37</v>
      </c>
      <c r="H507" s="1">
        <v>45360</v>
      </c>
      <c r="I507">
        <v>213.765659698886</v>
      </c>
      <c r="J507">
        <v>2</v>
      </c>
      <c r="K507">
        <v>427.53131939777199</v>
      </c>
      <c r="L507">
        <v>128.25939581933099</v>
      </c>
      <c r="M507" t="s">
        <v>24</v>
      </c>
      <c r="N507">
        <f>Supermarket_Sales_Case_Study[[#This Row],[Sales_Amount]]-Supermarket_Sales_Case_Study[[#This Row],[Profit]]</f>
        <v>299.27192357844103</v>
      </c>
      <c r="O507" s="2">
        <f>(Supermarket_Sales_Case_Study[[#This Row],[Sales_Amount]]-Supermarket_Sales_Case_Study[[#This Row],[Purchase]])/Supermarket_Sales_Case_Study[[#This Row],[Sales_Amount]]</f>
        <v>0.29999999999999849</v>
      </c>
      <c r="P507">
        <f>Supermarket_Sales_Case_Study[[#This Row],[Quantity]]*Supermarket_Sales_Case_Study[[#This Row],[Sales_Amount]]</f>
        <v>855.06263879554399</v>
      </c>
    </row>
    <row r="508" spans="1:16" x14ac:dyDescent="0.3">
      <c r="A508" t="s">
        <v>538</v>
      </c>
      <c r="B508" t="s">
        <v>21</v>
      </c>
      <c r="C508" t="s">
        <v>30</v>
      </c>
      <c r="D508">
        <v>1665</v>
      </c>
      <c r="E508" t="s">
        <v>26</v>
      </c>
      <c r="F508" t="s">
        <v>22</v>
      </c>
      <c r="G508" t="s">
        <v>33</v>
      </c>
      <c r="H508" s="1">
        <v>45292</v>
      </c>
      <c r="I508">
        <v>29.293006381148</v>
      </c>
      <c r="J508">
        <v>7</v>
      </c>
      <c r="K508">
        <v>205.05104466803601</v>
      </c>
      <c r="L508">
        <v>61.515313400410797</v>
      </c>
      <c r="M508" t="s">
        <v>34</v>
      </c>
      <c r="N508">
        <f>Supermarket_Sales_Case_Study[[#This Row],[Sales_Amount]]-Supermarket_Sales_Case_Study[[#This Row],[Profit]]</f>
        <v>143.53573126762521</v>
      </c>
      <c r="O508" s="2">
        <f>(Supermarket_Sales_Case_Study[[#This Row],[Sales_Amount]]-Supermarket_Sales_Case_Study[[#This Row],[Purchase]])/Supermarket_Sales_Case_Study[[#This Row],[Sales_Amount]]</f>
        <v>0.3</v>
      </c>
      <c r="P508">
        <f>Supermarket_Sales_Case_Study[[#This Row],[Quantity]]*Supermarket_Sales_Case_Study[[#This Row],[Sales_Amount]]</f>
        <v>1435.3573126762521</v>
      </c>
    </row>
    <row r="509" spans="1:16" x14ac:dyDescent="0.3">
      <c r="A509" t="s">
        <v>539</v>
      </c>
      <c r="B509" t="s">
        <v>14</v>
      </c>
      <c r="C509" t="s">
        <v>15</v>
      </c>
      <c r="D509">
        <v>1467</v>
      </c>
      <c r="E509" t="s">
        <v>16</v>
      </c>
      <c r="F509" t="s">
        <v>22</v>
      </c>
      <c r="G509" t="s">
        <v>37</v>
      </c>
      <c r="H509" s="1">
        <v>45330</v>
      </c>
      <c r="I509">
        <v>76.930449638694199</v>
      </c>
      <c r="J509">
        <v>1</v>
      </c>
      <c r="K509">
        <v>76.930449638694199</v>
      </c>
      <c r="L509">
        <v>23.079134891608199</v>
      </c>
      <c r="M509" t="s">
        <v>24</v>
      </c>
      <c r="N509">
        <f>Supermarket_Sales_Case_Study[[#This Row],[Sales_Amount]]-Supermarket_Sales_Case_Study[[#This Row],[Profit]]</f>
        <v>53.851314747086001</v>
      </c>
      <c r="O509" s="2">
        <f>(Supermarket_Sales_Case_Study[[#This Row],[Sales_Amount]]-Supermarket_Sales_Case_Study[[#This Row],[Purchase]])/Supermarket_Sales_Case_Study[[#This Row],[Sales_Amount]]</f>
        <v>0.29999999999999921</v>
      </c>
      <c r="P509">
        <f>Supermarket_Sales_Case_Study[[#This Row],[Quantity]]*Supermarket_Sales_Case_Study[[#This Row],[Sales_Amount]]</f>
        <v>76.930449638694199</v>
      </c>
    </row>
    <row r="510" spans="1:16" x14ac:dyDescent="0.3">
      <c r="A510" t="s">
        <v>540</v>
      </c>
      <c r="B510" t="s">
        <v>39</v>
      </c>
      <c r="C510" t="s">
        <v>30</v>
      </c>
      <c r="D510">
        <v>1160</v>
      </c>
      <c r="E510" t="s">
        <v>26</v>
      </c>
      <c r="F510" t="s">
        <v>22</v>
      </c>
      <c r="G510" t="s">
        <v>37</v>
      </c>
      <c r="H510" s="1">
        <v>45381</v>
      </c>
      <c r="I510">
        <v>275.54494735587798</v>
      </c>
      <c r="J510">
        <v>3</v>
      </c>
      <c r="K510">
        <v>826.63484206763496</v>
      </c>
      <c r="L510">
        <v>247.99045262029</v>
      </c>
      <c r="M510" t="s">
        <v>19</v>
      </c>
      <c r="N510">
        <f>Supermarket_Sales_Case_Study[[#This Row],[Sales_Amount]]-Supermarket_Sales_Case_Study[[#This Row],[Profit]]</f>
        <v>578.64438944734502</v>
      </c>
      <c r="O510" s="2">
        <f>(Supermarket_Sales_Case_Study[[#This Row],[Sales_Amount]]-Supermarket_Sales_Case_Study[[#This Row],[Purchase]])/Supermarket_Sales_Case_Study[[#This Row],[Sales_Amount]]</f>
        <v>0.29999999999999932</v>
      </c>
      <c r="P510">
        <f>Supermarket_Sales_Case_Study[[#This Row],[Quantity]]*Supermarket_Sales_Case_Study[[#This Row],[Sales_Amount]]</f>
        <v>2479.9045262029049</v>
      </c>
    </row>
    <row r="511" spans="1:16" x14ac:dyDescent="0.3">
      <c r="A511" t="s">
        <v>541</v>
      </c>
      <c r="B511" t="s">
        <v>21</v>
      </c>
      <c r="C511" t="s">
        <v>15</v>
      </c>
      <c r="D511">
        <v>1269</v>
      </c>
      <c r="E511" t="s">
        <v>16</v>
      </c>
      <c r="F511" t="s">
        <v>22</v>
      </c>
      <c r="G511" t="s">
        <v>31</v>
      </c>
      <c r="H511" s="1">
        <v>45308</v>
      </c>
      <c r="I511">
        <v>188.73120274753899</v>
      </c>
      <c r="J511">
        <v>4</v>
      </c>
      <c r="K511">
        <v>754.92481099015902</v>
      </c>
      <c r="L511">
        <v>226.47744329704699</v>
      </c>
      <c r="M511" t="s">
        <v>34</v>
      </c>
      <c r="N511">
        <f>Supermarket_Sales_Case_Study[[#This Row],[Sales_Amount]]-Supermarket_Sales_Case_Study[[#This Row],[Profit]]</f>
        <v>528.44736769311203</v>
      </c>
      <c r="O511" s="2">
        <f>(Supermarket_Sales_Case_Study[[#This Row],[Sales_Amount]]-Supermarket_Sales_Case_Study[[#This Row],[Purchase]])/Supermarket_Sales_Case_Study[[#This Row],[Sales_Amount]]</f>
        <v>0.29999999999999905</v>
      </c>
      <c r="P511">
        <f>Supermarket_Sales_Case_Study[[#This Row],[Quantity]]*Supermarket_Sales_Case_Study[[#This Row],[Sales_Amount]]</f>
        <v>3019.6992439606361</v>
      </c>
    </row>
    <row r="512" spans="1:16" x14ac:dyDescent="0.3">
      <c r="A512" t="s">
        <v>542</v>
      </c>
      <c r="B512" t="s">
        <v>14</v>
      </c>
      <c r="C512" t="s">
        <v>36</v>
      </c>
      <c r="D512">
        <v>2079</v>
      </c>
      <c r="E512" t="s">
        <v>26</v>
      </c>
      <c r="F512" t="s">
        <v>17</v>
      </c>
      <c r="G512" t="s">
        <v>23</v>
      </c>
      <c r="H512" s="1">
        <v>45379</v>
      </c>
      <c r="I512">
        <v>81.422945455054105</v>
      </c>
      <c r="J512">
        <v>1</v>
      </c>
      <c r="K512">
        <v>81.422945455054105</v>
      </c>
      <c r="L512">
        <v>24.426883636516202</v>
      </c>
      <c r="M512" t="s">
        <v>24</v>
      </c>
      <c r="N512">
        <f>Supermarket_Sales_Case_Study[[#This Row],[Sales_Amount]]-Supermarket_Sales_Case_Study[[#This Row],[Profit]]</f>
        <v>56.996061818537903</v>
      </c>
      <c r="O512" s="2">
        <f>(Supermarket_Sales_Case_Study[[#This Row],[Sales_Amount]]-Supermarket_Sales_Case_Study[[#This Row],[Purchase]])/Supermarket_Sales_Case_Study[[#This Row],[Sales_Amount]]</f>
        <v>0.29999999999999966</v>
      </c>
      <c r="P512">
        <f>Supermarket_Sales_Case_Study[[#This Row],[Quantity]]*Supermarket_Sales_Case_Study[[#This Row],[Sales_Amount]]</f>
        <v>81.422945455054105</v>
      </c>
    </row>
    <row r="513" spans="1:16" x14ac:dyDescent="0.3">
      <c r="A513" t="s">
        <v>543</v>
      </c>
      <c r="B513" t="s">
        <v>39</v>
      </c>
      <c r="C513" t="s">
        <v>15</v>
      </c>
      <c r="D513">
        <v>1227</v>
      </c>
      <c r="E513" t="s">
        <v>16</v>
      </c>
      <c r="F513" t="s">
        <v>17</v>
      </c>
      <c r="G513" t="s">
        <v>28</v>
      </c>
      <c r="H513" s="1">
        <v>45326</v>
      </c>
      <c r="I513">
        <v>210.297133632921</v>
      </c>
      <c r="J513">
        <v>5</v>
      </c>
      <c r="K513">
        <v>1051.4856681645999</v>
      </c>
      <c r="L513">
        <v>315.445700449382</v>
      </c>
      <c r="M513" t="s">
        <v>34</v>
      </c>
      <c r="N513">
        <f>Supermarket_Sales_Case_Study[[#This Row],[Sales_Amount]]-Supermarket_Sales_Case_Study[[#This Row],[Profit]]</f>
        <v>736.03996771521793</v>
      </c>
      <c r="O513" s="2">
        <f>(Supermarket_Sales_Case_Study[[#This Row],[Sales_Amount]]-Supermarket_Sales_Case_Study[[#This Row],[Purchase]])/Supermarket_Sales_Case_Study[[#This Row],[Sales_Amount]]</f>
        <v>0.30000000000000193</v>
      </c>
      <c r="P513">
        <f>Supermarket_Sales_Case_Study[[#This Row],[Quantity]]*Supermarket_Sales_Case_Study[[#This Row],[Sales_Amount]]</f>
        <v>5257.4283408229994</v>
      </c>
    </row>
    <row r="514" spans="1:16" x14ac:dyDescent="0.3">
      <c r="A514" t="s">
        <v>544</v>
      </c>
      <c r="B514" t="s">
        <v>14</v>
      </c>
      <c r="C514" t="s">
        <v>15</v>
      </c>
      <c r="D514">
        <v>1848</v>
      </c>
      <c r="E514" t="s">
        <v>26</v>
      </c>
      <c r="F514" t="s">
        <v>22</v>
      </c>
      <c r="G514" t="s">
        <v>28</v>
      </c>
      <c r="H514" s="1">
        <v>45337</v>
      </c>
      <c r="I514">
        <v>183.06516178888899</v>
      </c>
      <c r="J514">
        <v>3</v>
      </c>
      <c r="K514">
        <v>549.195485366669</v>
      </c>
      <c r="L514">
        <v>164.75864561</v>
      </c>
      <c r="M514" t="s">
        <v>34</v>
      </c>
      <c r="N514">
        <f>Supermarket_Sales_Case_Study[[#This Row],[Sales_Amount]]-Supermarket_Sales_Case_Study[[#This Row],[Profit]]</f>
        <v>384.43683975666897</v>
      </c>
      <c r="O514" s="2">
        <f>(Supermarket_Sales_Case_Study[[#This Row],[Sales_Amount]]-Supermarket_Sales_Case_Study[[#This Row],[Purchase]])/Supermarket_Sales_Case_Study[[#This Row],[Sales_Amount]]</f>
        <v>0.29999999999999877</v>
      </c>
      <c r="P514">
        <f>Supermarket_Sales_Case_Study[[#This Row],[Quantity]]*Supermarket_Sales_Case_Study[[#This Row],[Sales_Amount]]</f>
        <v>1647.5864561000071</v>
      </c>
    </row>
    <row r="515" spans="1:16" x14ac:dyDescent="0.3">
      <c r="A515" t="s">
        <v>545</v>
      </c>
      <c r="B515" t="s">
        <v>21</v>
      </c>
      <c r="C515" t="s">
        <v>30</v>
      </c>
      <c r="D515">
        <v>1148</v>
      </c>
      <c r="E515" t="s">
        <v>16</v>
      </c>
      <c r="F515" t="s">
        <v>17</v>
      </c>
      <c r="G515" t="s">
        <v>28</v>
      </c>
      <c r="H515" s="1">
        <v>45333</v>
      </c>
      <c r="I515">
        <v>155.456952976205</v>
      </c>
      <c r="J515">
        <v>2</v>
      </c>
      <c r="K515">
        <v>310.91390595241</v>
      </c>
      <c r="L515">
        <v>93.274171785722999</v>
      </c>
      <c r="M515" t="s">
        <v>34</v>
      </c>
      <c r="N515">
        <f>Supermarket_Sales_Case_Study[[#This Row],[Sales_Amount]]-Supermarket_Sales_Case_Study[[#This Row],[Profit]]</f>
        <v>217.63973416668699</v>
      </c>
      <c r="O515" s="2">
        <f>(Supermarket_Sales_Case_Study[[#This Row],[Sales_Amount]]-Supermarket_Sales_Case_Study[[#This Row],[Purchase]])/Supermarket_Sales_Case_Study[[#This Row],[Sales_Amount]]</f>
        <v>0.30000000000000004</v>
      </c>
      <c r="P515">
        <f>Supermarket_Sales_Case_Study[[#This Row],[Quantity]]*Supermarket_Sales_Case_Study[[#This Row],[Sales_Amount]]</f>
        <v>621.82781190482001</v>
      </c>
    </row>
    <row r="516" spans="1:16" x14ac:dyDescent="0.3">
      <c r="A516" t="s">
        <v>546</v>
      </c>
      <c r="B516" t="s">
        <v>21</v>
      </c>
      <c r="C516" t="s">
        <v>30</v>
      </c>
      <c r="D516">
        <v>2069</v>
      </c>
      <c r="E516" t="s">
        <v>26</v>
      </c>
      <c r="F516" t="s">
        <v>22</v>
      </c>
      <c r="G516" t="s">
        <v>18</v>
      </c>
      <c r="H516" s="1">
        <v>45330</v>
      </c>
      <c r="I516">
        <v>293.09422274654401</v>
      </c>
      <c r="J516">
        <v>3</v>
      </c>
      <c r="K516">
        <v>879.28266823963202</v>
      </c>
      <c r="L516">
        <v>263.78480047188901</v>
      </c>
      <c r="M516" t="s">
        <v>34</v>
      </c>
      <c r="N516">
        <f>Supermarket_Sales_Case_Study[[#This Row],[Sales_Amount]]-Supermarket_Sales_Case_Study[[#This Row],[Profit]]</f>
        <v>615.49786776774295</v>
      </c>
      <c r="O516" s="2">
        <f>(Supermarket_Sales_Case_Study[[#This Row],[Sales_Amount]]-Supermarket_Sales_Case_Study[[#This Row],[Purchase]])/Supermarket_Sales_Case_Study[[#This Row],[Sales_Amount]]</f>
        <v>0.29999999999999938</v>
      </c>
      <c r="P516">
        <f>Supermarket_Sales_Case_Study[[#This Row],[Quantity]]*Supermarket_Sales_Case_Study[[#This Row],[Sales_Amount]]</f>
        <v>2637.8480047188959</v>
      </c>
    </row>
    <row r="517" spans="1:16" x14ac:dyDescent="0.3">
      <c r="A517" t="s">
        <v>547</v>
      </c>
      <c r="B517" t="s">
        <v>21</v>
      </c>
      <c r="C517" t="s">
        <v>15</v>
      </c>
      <c r="D517">
        <v>2167</v>
      </c>
      <c r="E517" t="s">
        <v>26</v>
      </c>
      <c r="F517" t="s">
        <v>22</v>
      </c>
      <c r="G517" t="s">
        <v>31</v>
      </c>
      <c r="H517" s="1">
        <v>45381</v>
      </c>
      <c r="I517">
        <v>208.20159544817699</v>
      </c>
      <c r="J517">
        <v>8</v>
      </c>
      <c r="K517">
        <v>1665.61276358542</v>
      </c>
      <c r="L517">
        <v>499.68382907562602</v>
      </c>
      <c r="M517" t="s">
        <v>34</v>
      </c>
      <c r="N517">
        <f>Supermarket_Sales_Case_Study[[#This Row],[Sales_Amount]]-Supermarket_Sales_Case_Study[[#This Row],[Profit]]</f>
        <v>1165.9289345097941</v>
      </c>
      <c r="O517" s="2">
        <f>(Supermarket_Sales_Case_Study[[#This Row],[Sales_Amount]]-Supermarket_Sales_Case_Study[[#This Row],[Purchase]])/Supermarket_Sales_Case_Study[[#This Row],[Sales_Amount]]</f>
        <v>0.29999999999999993</v>
      </c>
      <c r="P517">
        <f>Supermarket_Sales_Case_Study[[#This Row],[Quantity]]*Supermarket_Sales_Case_Study[[#This Row],[Sales_Amount]]</f>
        <v>13324.90210868336</v>
      </c>
    </row>
    <row r="518" spans="1:16" x14ac:dyDescent="0.3">
      <c r="A518" t="s">
        <v>548</v>
      </c>
      <c r="B518" t="s">
        <v>14</v>
      </c>
      <c r="C518" t="s">
        <v>30</v>
      </c>
      <c r="D518">
        <v>1631</v>
      </c>
      <c r="E518" t="s">
        <v>26</v>
      </c>
      <c r="F518" t="s">
        <v>17</v>
      </c>
      <c r="G518" t="s">
        <v>23</v>
      </c>
      <c r="H518" s="1">
        <v>45340</v>
      </c>
      <c r="I518">
        <v>118.87792180369399</v>
      </c>
      <c r="J518">
        <v>6</v>
      </c>
      <c r="K518">
        <v>713.26753082216806</v>
      </c>
      <c r="L518">
        <v>213.98025924665001</v>
      </c>
      <c r="M518" t="s">
        <v>34</v>
      </c>
      <c r="N518">
        <f>Supermarket_Sales_Case_Study[[#This Row],[Sales_Amount]]-Supermarket_Sales_Case_Study[[#This Row],[Profit]]</f>
        <v>499.28727157551805</v>
      </c>
      <c r="O518" s="2">
        <f>(Supermarket_Sales_Case_Study[[#This Row],[Sales_Amount]]-Supermarket_Sales_Case_Study[[#This Row],[Purchase]])/Supermarket_Sales_Case_Study[[#This Row],[Sales_Amount]]</f>
        <v>0.29999999999999943</v>
      </c>
      <c r="P518">
        <f>Supermarket_Sales_Case_Study[[#This Row],[Quantity]]*Supermarket_Sales_Case_Study[[#This Row],[Sales_Amount]]</f>
        <v>4279.6051849330088</v>
      </c>
    </row>
    <row r="519" spans="1:16" x14ac:dyDescent="0.3">
      <c r="A519" t="s">
        <v>549</v>
      </c>
      <c r="B519" t="s">
        <v>14</v>
      </c>
      <c r="C519" t="s">
        <v>36</v>
      </c>
      <c r="D519">
        <v>2363</v>
      </c>
      <c r="E519" t="s">
        <v>16</v>
      </c>
      <c r="F519" t="s">
        <v>22</v>
      </c>
      <c r="G519" t="s">
        <v>18</v>
      </c>
      <c r="H519" s="1">
        <v>45353</v>
      </c>
      <c r="I519">
        <v>242.02129530229101</v>
      </c>
      <c r="J519">
        <v>7</v>
      </c>
      <c r="K519">
        <v>1694.14906711604</v>
      </c>
      <c r="L519">
        <v>508.24472013481198</v>
      </c>
      <c r="M519" t="s">
        <v>34</v>
      </c>
      <c r="N519">
        <f>Supermarket_Sales_Case_Study[[#This Row],[Sales_Amount]]-Supermarket_Sales_Case_Study[[#This Row],[Profit]]</f>
        <v>1185.9043469812279</v>
      </c>
      <c r="O519" s="2">
        <f>(Supermarket_Sales_Case_Study[[#This Row],[Sales_Amount]]-Supermarket_Sales_Case_Study[[#This Row],[Purchase]])/Supermarket_Sales_Case_Study[[#This Row],[Sales_Amount]]</f>
        <v>0.30000000000000004</v>
      </c>
      <c r="P519">
        <f>Supermarket_Sales_Case_Study[[#This Row],[Quantity]]*Supermarket_Sales_Case_Study[[#This Row],[Sales_Amount]]</f>
        <v>11859.043469812281</v>
      </c>
    </row>
    <row r="520" spans="1:16" x14ac:dyDescent="0.3">
      <c r="A520" t="s">
        <v>550</v>
      </c>
      <c r="B520" t="s">
        <v>21</v>
      </c>
      <c r="C520" t="s">
        <v>36</v>
      </c>
      <c r="D520">
        <v>1412</v>
      </c>
      <c r="E520" t="s">
        <v>26</v>
      </c>
      <c r="F520" t="s">
        <v>22</v>
      </c>
      <c r="G520" t="s">
        <v>33</v>
      </c>
      <c r="H520" s="1">
        <v>45329</v>
      </c>
      <c r="I520">
        <v>266.52915494714398</v>
      </c>
      <c r="J520">
        <v>6</v>
      </c>
      <c r="K520">
        <v>1599.17492968286</v>
      </c>
      <c r="L520">
        <v>479.752478904859</v>
      </c>
      <c r="M520" t="s">
        <v>19</v>
      </c>
      <c r="N520">
        <f>Supermarket_Sales_Case_Study[[#This Row],[Sales_Amount]]-Supermarket_Sales_Case_Study[[#This Row],[Profit]]</f>
        <v>1119.4224507780009</v>
      </c>
      <c r="O520" s="2">
        <f>(Supermarket_Sales_Case_Study[[#This Row],[Sales_Amount]]-Supermarket_Sales_Case_Study[[#This Row],[Purchase]])/Supermarket_Sales_Case_Study[[#This Row],[Sales_Amount]]</f>
        <v>0.30000000000000071</v>
      </c>
      <c r="P520">
        <f>Supermarket_Sales_Case_Study[[#This Row],[Quantity]]*Supermarket_Sales_Case_Study[[#This Row],[Sales_Amount]]</f>
        <v>9595.0495780971596</v>
      </c>
    </row>
    <row r="521" spans="1:16" x14ac:dyDescent="0.3">
      <c r="A521" t="s">
        <v>551</v>
      </c>
      <c r="B521" t="s">
        <v>14</v>
      </c>
      <c r="C521" t="s">
        <v>30</v>
      </c>
      <c r="D521">
        <v>1519</v>
      </c>
      <c r="E521" t="s">
        <v>16</v>
      </c>
      <c r="F521" t="s">
        <v>17</v>
      </c>
      <c r="G521" t="s">
        <v>23</v>
      </c>
      <c r="H521" s="1">
        <v>45314</v>
      </c>
      <c r="I521">
        <v>46.313962259881102</v>
      </c>
      <c r="J521">
        <v>6</v>
      </c>
      <c r="K521">
        <v>277.883773559286</v>
      </c>
      <c r="L521">
        <v>83.365132067785893</v>
      </c>
      <c r="M521" t="s">
        <v>19</v>
      </c>
      <c r="N521">
        <f>Supermarket_Sales_Case_Study[[#This Row],[Sales_Amount]]-Supermarket_Sales_Case_Study[[#This Row],[Profit]]</f>
        <v>194.51864149150009</v>
      </c>
      <c r="O521" s="2">
        <f>(Supermarket_Sales_Case_Study[[#This Row],[Sales_Amount]]-Supermarket_Sales_Case_Study[[#This Row],[Purchase]])/Supermarket_Sales_Case_Study[[#This Row],[Sales_Amount]]</f>
        <v>0.30000000000000038</v>
      </c>
      <c r="P521">
        <f>Supermarket_Sales_Case_Study[[#This Row],[Quantity]]*Supermarket_Sales_Case_Study[[#This Row],[Sales_Amount]]</f>
        <v>1667.3026413557159</v>
      </c>
    </row>
    <row r="522" spans="1:16" x14ac:dyDescent="0.3">
      <c r="A522" t="s">
        <v>552</v>
      </c>
      <c r="B522" t="s">
        <v>21</v>
      </c>
      <c r="C522" t="s">
        <v>36</v>
      </c>
      <c r="D522">
        <v>2367</v>
      </c>
      <c r="E522" t="s">
        <v>16</v>
      </c>
      <c r="F522" t="s">
        <v>22</v>
      </c>
      <c r="G522" t="s">
        <v>37</v>
      </c>
      <c r="H522" s="1">
        <v>45313</v>
      </c>
      <c r="I522">
        <v>68.160363575127207</v>
      </c>
      <c r="J522">
        <v>3</v>
      </c>
      <c r="K522">
        <v>204.48109072538099</v>
      </c>
      <c r="L522">
        <v>61.344327217614499</v>
      </c>
      <c r="M522" t="s">
        <v>34</v>
      </c>
      <c r="N522">
        <f>Supermarket_Sales_Case_Study[[#This Row],[Sales_Amount]]-Supermarket_Sales_Case_Study[[#This Row],[Profit]]</f>
        <v>143.13676350776649</v>
      </c>
      <c r="O522" s="2">
        <f>(Supermarket_Sales_Case_Study[[#This Row],[Sales_Amount]]-Supermarket_Sales_Case_Study[[#This Row],[Purchase]])/Supermarket_Sales_Case_Study[[#This Row],[Sales_Amount]]</f>
        <v>0.30000000000000099</v>
      </c>
      <c r="P522">
        <f>Supermarket_Sales_Case_Study[[#This Row],[Quantity]]*Supermarket_Sales_Case_Study[[#This Row],[Sales_Amount]]</f>
        <v>613.44327217614295</v>
      </c>
    </row>
    <row r="523" spans="1:16" x14ac:dyDescent="0.3">
      <c r="A523" t="s">
        <v>553</v>
      </c>
      <c r="B523" t="s">
        <v>21</v>
      </c>
      <c r="C523" t="s">
        <v>30</v>
      </c>
      <c r="D523">
        <v>1386</v>
      </c>
      <c r="E523" t="s">
        <v>26</v>
      </c>
      <c r="F523" t="s">
        <v>22</v>
      </c>
      <c r="G523" t="s">
        <v>23</v>
      </c>
      <c r="H523" s="1">
        <v>45295</v>
      </c>
      <c r="I523">
        <v>72.705832647056098</v>
      </c>
      <c r="J523">
        <v>8</v>
      </c>
      <c r="K523">
        <v>581.64666117644799</v>
      </c>
      <c r="L523">
        <v>174.493998352934</v>
      </c>
      <c r="M523" t="s">
        <v>34</v>
      </c>
      <c r="N523">
        <f>Supermarket_Sales_Case_Study[[#This Row],[Sales_Amount]]-Supermarket_Sales_Case_Study[[#This Row],[Profit]]</f>
        <v>407.15266282351399</v>
      </c>
      <c r="O523" s="2">
        <f>(Supermarket_Sales_Case_Study[[#This Row],[Sales_Amount]]-Supermarket_Sales_Case_Study[[#This Row],[Purchase]])/Supermarket_Sales_Case_Study[[#This Row],[Sales_Amount]]</f>
        <v>0.29999999999999932</v>
      </c>
      <c r="P523">
        <f>Supermarket_Sales_Case_Study[[#This Row],[Quantity]]*Supermarket_Sales_Case_Study[[#This Row],[Sales_Amount]]</f>
        <v>4653.1732894115839</v>
      </c>
    </row>
    <row r="524" spans="1:16" x14ac:dyDescent="0.3">
      <c r="A524" t="s">
        <v>554</v>
      </c>
      <c r="B524" t="s">
        <v>39</v>
      </c>
      <c r="C524" t="s">
        <v>15</v>
      </c>
      <c r="D524">
        <v>2496</v>
      </c>
      <c r="E524" t="s">
        <v>26</v>
      </c>
      <c r="F524" t="s">
        <v>17</v>
      </c>
      <c r="G524" t="s">
        <v>23</v>
      </c>
      <c r="H524" s="1">
        <v>45340</v>
      </c>
      <c r="I524">
        <v>210.45142472209599</v>
      </c>
      <c r="J524">
        <v>7</v>
      </c>
      <c r="K524">
        <v>1473.15997305467</v>
      </c>
      <c r="L524">
        <v>441.947991916403</v>
      </c>
      <c r="M524" t="s">
        <v>19</v>
      </c>
      <c r="N524">
        <f>Supermarket_Sales_Case_Study[[#This Row],[Sales_Amount]]-Supermarket_Sales_Case_Study[[#This Row],[Profit]]</f>
        <v>1031.211981138267</v>
      </c>
      <c r="O524" s="2">
        <f>(Supermarket_Sales_Case_Study[[#This Row],[Sales_Amount]]-Supermarket_Sales_Case_Study[[#This Row],[Purchase]])/Supermarket_Sales_Case_Study[[#This Row],[Sales_Amount]]</f>
        <v>0.30000000000000138</v>
      </c>
      <c r="P524">
        <f>Supermarket_Sales_Case_Study[[#This Row],[Quantity]]*Supermarket_Sales_Case_Study[[#This Row],[Sales_Amount]]</f>
        <v>10312.11981138269</v>
      </c>
    </row>
    <row r="525" spans="1:16" x14ac:dyDescent="0.3">
      <c r="A525" t="s">
        <v>555</v>
      </c>
      <c r="B525" t="s">
        <v>14</v>
      </c>
      <c r="C525" t="s">
        <v>15</v>
      </c>
      <c r="D525">
        <v>1274</v>
      </c>
      <c r="E525" t="s">
        <v>26</v>
      </c>
      <c r="F525" t="s">
        <v>22</v>
      </c>
      <c r="G525" t="s">
        <v>28</v>
      </c>
      <c r="H525" s="1">
        <v>45350</v>
      </c>
      <c r="I525">
        <v>184.881470965452</v>
      </c>
      <c r="J525">
        <v>7</v>
      </c>
      <c r="K525">
        <v>1294.17029675816</v>
      </c>
      <c r="L525">
        <v>388.25108902744898</v>
      </c>
      <c r="M525" t="s">
        <v>19</v>
      </c>
      <c r="N525">
        <f>Supermarket_Sales_Case_Study[[#This Row],[Sales_Amount]]-Supermarket_Sales_Case_Study[[#This Row],[Profit]]</f>
        <v>905.91920773071104</v>
      </c>
      <c r="O525" s="2">
        <f>(Supermarket_Sales_Case_Study[[#This Row],[Sales_Amount]]-Supermarket_Sales_Case_Study[[#This Row],[Purchase]])/Supermarket_Sales_Case_Study[[#This Row],[Sales_Amount]]</f>
        <v>0.30000000000000077</v>
      </c>
      <c r="P525">
        <f>Supermarket_Sales_Case_Study[[#This Row],[Quantity]]*Supermarket_Sales_Case_Study[[#This Row],[Sales_Amount]]</f>
        <v>9059.1920773071197</v>
      </c>
    </row>
    <row r="526" spans="1:16" x14ac:dyDescent="0.3">
      <c r="A526" t="s">
        <v>556</v>
      </c>
      <c r="B526" t="s">
        <v>21</v>
      </c>
      <c r="C526" t="s">
        <v>36</v>
      </c>
      <c r="D526">
        <v>1352</v>
      </c>
      <c r="E526" t="s">
        <v>16</v>
      </c>
      <c r="F526" t="s">
        <v>17</v>
      </c>
      <c r="G526" t="s">
        <v>23</v>
      </c>
      <c r="H526" s="1">
        <v>45364</v>
      </c>
      <c r="I526">
        <v>189.50755376258999</v>
      </c>
      <c r="J526">
        <v>6</v>
      </c>
      <c r="K526">
        <v>1137.04532257554</v>
      </c>
      <c r="L526">
        <v>341.11359677266302</v>
      </c>
      <c r="M526" t="s">
        <v>19</v>
      </c>
      <c r="N526">
        <f>Supermarket_Sales_Case_Study[[#This Row],[Sales_Amount]]-Supermarket_Sales_Case_Study[[#This Row],[Profit]]</f>
        <v>795.93172580287705</v>
      </c>
      <c r="O526" s="2">
        <f>(Supermarket_Sales_Case_Study[[#This Row],[Sales_Amount]]-Supermarket_Sales_Case_Study[[#This Row],[Purchase]])/Supermarket_Sales_Case_Study[[#This Row],[Sales_Amount]]</f>
        <v>0.30000000000000082</v>
      </c>
      <c r="P526">
        <f>Supermarket_Sales_Case_Study[[#This Row],[Quantity]]*Supermarket_Sales_Case_Study[[#This Row],[Sales_Amount]]</f>
        <v>6822.2719354532401</v>
      </c>
    </row>
    <row r="527" spans="1:16" x14ac:dyDescent="0.3">
      <c r="A527" t="s">
        <v>557</v>
      </c>
      <c r="B527" t="s">
        <v>21</v>
      </c>
      <c r="C527" t="s">
        <v>30</v>
      </c>
      <c r="D527">
        <v>2089</v>
      </c>
      <c r="E527" t="s">
        <v>26</v>
      </c>
      <c r="F527" t="s">
        <v>22</v>
      </c>
      <c r="G527" t="s">
        <v>37</v>
      </c>
      <c r="H527" s="1">
        <v>45359</v>
      </c>
      <c r="I527">
        <v>282.82425690995501</v>
      </c>
      <c r="J527">
        <v>5</v>
      </c>
      <c r="K527">
        <v>1414.1212845497701</v>
      </c>
      <c r="L527">
        <v>424.236385364932</v>
      </c>
      <c r="M527" t="s">
        <v>34</v>
      </c>
      <c r="N527">
        <f>Supermarket_Sales_Case_Study[[#This Row],[Sales_Amount]]-Supermarket_Sales_Case_Study[[#This Row],[Profit]]</f>
        <v>989.8848991848381</v>
      </c>
      <c r="O527" s="2">
        <f>(Supermarket_Sales_Case_Study[[#This Row],[Sales_Amount]]-Supermarket_Sales_Case_Study[[#This Row],[Purchase]])/Supermarket_Sales_Case_Study[[#This Row],[Sales_Amount]]</f>
        <v>0.30000000000000066</v>
      </c>
      <c r="P527">
        <f>Supermarket_Sales_Case_Study[[#This Row],[Quantity]]*Supermarket_Sales_Case_Study[[#This Row],[Sales_Amount]]</f>
        <v>7070.6064227488505</v>
      </c>
    </row>
    <row r="528" spans="1:16" x14ac:dyDescent="0.3">
      <c r="A528" t="s">
        <v>558</v>
      </c>
      <c r="B528" t="s">
        <v>14</v>
      </c>
      <c r="C528" t="s">
        <v>30</v>
      </c>
      <c r="D528">
        <v>2102</v>
      </c>
      <c r="E528" t="s">
        <v>16</v>
      </c>
      <c r="F528" t="s">
        <v>17</v>
      </c>
      <c r="G528" t="s">
        <v>37</v>
      </c>
      <c r="H528" s="1">
        <v>45362</v>
      </c>
      <c r="I528">
        <v>235.01434451411799</v>
      </c>
      <c r="J528">
        <v>8</v>
      </c>
      <c r="K528">
        <v>1880.1147561129401</v>
      </c>
      <c r="L528">
        <v>564.03442683388403</v>
      </c>
      <c r="M528" t="s">
        <v>24</v>
      </c>
      <c r="N528">
        <f>Supermarket_Sales_Case_Study[[#This Row],[Sales_Amount]]-Supermarket_Sales_Case_Study[[#This Row],[Profit]]</f>
        <v>1316.0803292790561</v>
      </c>
      <c r="O528" s="2">
        <f>(Supermarket_Sales_Case_Study[[#This Row],[Sales_Amount]]-Supermarket_Sales_Case_Study[[#This Row],[Purchase]])/Supermarket_Sales_Case_Study[[#This Row],[Sales_Amount]]</f>
        <v>0.30000000000000104</v>
      </c>
      <c r="P528">
        <f>Supermarket_Sales_Case_Study[[#This Row],[Quantity]]*Supermarket_Sales_Case_Study[[#This Row],[Sales_Amount]]</f>
        <v>15040.918048903521</v>
      </c>
    </row>
    <row r="529" spans="1:16" x14ac:dyDescent="0.3">
      <c r="A529" t="s">
        <v>559</v>
      </c>
      <c r="B529" t="s">
        <v>39</v>
      </c>
      <c r="C529" t="s">
        <v>36</v>
      </c>
      <c r="D529">
        <v>1597</v>
      </c>
      <c r="E529" t="s">
        <v>16</v>
      </c>
      <c r="F529" t="s">
        <v>17</v>
      </c>
      <c r="G529" t="s">
        <v>31</v>
      </c>
      <c r="H529" s="1">
        <v>45378</v>
      </c>
      <c r="I529">
        <v>47.1017081084171</v>
      </c>
      <c r="J529">
        <v>5</v>
      </c>
      <c r="K529">
        <v>235.508540542085</v>
      </c>
      <c r="L529">
        <v>70.6525621626256</v>
      </c>
      <c r="M529" t="s">
        <v>24</v>
      </c>
      <c r="N529">
        <f>Supermarket_Sales_Case_Study[[#This Row],[Sales_Amount]]-Supermarket_Sales_Case_Study[[#This Row],[Profit]]</f>
        <v>164.8559783794594</v>
      </c>
      <c r="O529" s="2">
        <f>(Supermarket_Sales_Case_Study[[#This Row],[Sales_Amount]]-Supermarket_Sales_Case_Study[[#This Row],[Purchase]])/Supermarket_Sales_Case_Study[[#This Row],[Sales_Amount]]</f>
        <v>0.30000000000000043</v>
      </c>
      <c r="P529">
        <f>Supermarket_Sales_Case_Study[[#This Row],[Quantity]]*Supermarket_Sales_Case_Study[[#This Row],[Sales_Amount]]</f>
        <v>1177.5427027104249</v>
      </c>
    </row>
    <row r="530" spans="1:16" x14ac:dyDescent="0.3">
      <c r="A530" t="s">
        <v>560</v>
      </c>
      <c r="B530" t="s">
        <v>39</v>
      </c>
      <c r="C530" t="s">
        <v>15</v>
      </c>
      <c r="D530">
        <v>2225</v>
      </c>
      <c r="E530" t="s">
        <v>26</v>
      </c>
      <c r="F530" t="s">
        <v>17</v>
      </c>
      <c r="G530" t="s">
        <v>23</v>
      </c>
      <c r="H530" s="1">
        <v>45293</v>
      </c>
      <c r="I530">
        <v>110.777053903302</v>
      </c>
      <c r="J530">
        <v>9</v>
      </c>
      <c r="K530">
        <v>996.99348512972199</v>
      </c>
      <c r="L530">
        <v>299.09804553891598</v>
      </c>
      <c r="M530" t="s">
        <v>24</v>
      </c>
      <c r="N530">
        <f>Supermarket_Sales_Case_Study[[#This Row],[Sales_Amount]]-Supermarket_Sales_Case_Study[[#This Row],[Profit]]</f>
        <v>697.89543959080606</v>
      </c>
      <c r="O530" s="2">
        <f>(Supermarket_Sales_Case_Study[[#This Row],[Sales_Amount]]-Supermarket_Sales_Case_Study[[#This Row],[Purchase]])/Supermarket_Sales_Case_Study[[#This Row],[Sales_Amount]]</f>
        <v>0.29999999999999932</v>
      </c>
      <c r="P530">
        <f>Supermarket_Sales_Case_Study[[#This Row],[Quantity]]*Supermarket_Sales_Case_Study[[#This Row],[Sales_Amount]]</f>
        <v>8972.9413661674971</v>
      </c>
    </row>
    <row r="531" spans="1:16" x14ac:dyDescent="0.3">
      <c r="A531" t="s">
        <v>561</v>
      </c>
      <c r="B531" t="s">
        <v>21</v>
      </c>
      <c r="C531" t="s">
        <v>36</v>
      </c>
      <c r="D531">
        <v>1557</v>
      </c>
      <c r="E531" t="s">
        <v>26</v>
      </c>
      <c r="F531" t="s">
        <v>22</v>
      </c>
      <c r="G531" t="s">
        <v>28</v>
      </c>
      <c r="H531" s="1">
        <v>45340</v>
      </c>
      <c r="I531">
        <v>136.26415739096299</v>
      </c>
      <c r="J531">
        <v>9</v>
      </c>
      <c r="K531">
        <v>1226.3774165186701</v>
      </c>
      <c r="L531">
        <v>367.91322495560098</v>
      </c>
      <c r="M531" t="s">
        <v>24</v>
      </c>
      <c r="N531">
        <f>Supermarket_Sales_Case_Study[[#This Row],[Sales_Amount]]-Supermarket_Sales_Case_Study[[#This Row],[Profit]]</f>
        <v>858.46419156306911</v>
      </c>
      <c r="O531" s="2">
        <f>(Supermarket_Sales_Case_Study[[#This Row],[Sales_Amount]]-Supermarket_Sales_Case_Study[[#This Row],[Purchase]])/Supermarket_Sales_Case_Study[[#This Row],[Sales_Amount]]</f>
        <v>0.3</v>
      </c>
      <c r="P531">
        <f>Supermarket_Sales_Case_Study[[#This Row],[Quantity]]*Supermarket_Sales_Case_Study[[#This Row],[Sales_Amount]]</f>
        <v>11037.39674866803</v>
      </c>
    </row>
    <row r="532" spans="1:16" x14ac:dyDescent="0.3">
      <c r="A532" t="s">
        <v>562</v>
      </c>
      <c r="B532" t="s">
        <v>14</v>
      </c>
      <c r="C532" t="s">
        <v>15</v>
      </c>
      <c r="D532">
        <v>1112</v>
      </c>
      <c r="E532" t="s">
        <v>26</v>
      </c>
      <c r="F532" t="s">
        <v>17</v>
      </c>
      <c r="G532" t="s">
        <v>23</v>
      </c>
      <c r="H532" s="1">
        <v>45379</v>
      </c>
      <c r="I532">
        <v>124.828860736805</v>
      </c>
      <c r="J532">
        <v>1</v>
      </c>
      <c r="K532">
        <v>124.828860736805</v>
      </c>
      <c r="L532">
        <v>37.448658221041597</v>
      </c>
      <c r="M532" t="s">
        <v>34</v>
      </c>
      <c r="N532">
        <f>Supermarket_Sales_Case_Study[[#This Row],[Sales_Amount]]-Supermarket_Sales_Case_Study[[#This Row],[Profit]]</f>
        <v>87.380202515763401</v>
      </c>
      <c r="O532" s="2">
        <f>(Supermarket_Sales_Case_Study[[#This Row],[Sales_Amount]]-Supermarket_Sales_Case_Study[[#This Row],[Purchase]])/Supermarket_Sales_Case_Study[[#This Row],[Sales_Amount]]</f>
        <v>0.30000000000000077</v>
      </c>
      <c r="P532">
        <f>Supermarket_Sales_Case_Study[[#This Row],[Quantity]]*Supermarket_Sales_Case_Study[[#This Row],[Sales_Amount]]</f>
        <v>124.828860736805</v>
      </c>
    </row>
    <row r="533" spans="1:16" x14ac:dyDescent="0.3">
      <c r="A533" t="s">
        <v>563</v>
      </c>
      <c r="B533" t="s">
        <v>39</v>
      </c>
      <c r="C533" t="s">
        <v>30</v>
      </c>
      <c r="D533">
        <v>2114</v>
      </c>
      <c r="E533" t="s">
        <v>26</v>
      </c>
      <c r="F533" t="s">
        <v>17</v>
      </c>
      <c r="G533" t="s">
        <v>33</v>
      </c>
      <c r="H533" s="1">
        <v>45322</v>
      </c>
      <c r="I533">
        <v>204.09949665694401</v>
      </c>
      <c r="J533">
        <v>6</v>
      </c>
      <c r="K533">
        <v>1224.59697994166</v>
      </c>
      <c r="L533">
        <v>367.37909398250002</v>
      </c>
      <c r="M533" t="s">
        <v>24</v>
      </c>
      <c r="N533">
        <f>Supermarket_Sales_Case_Study[[#This Row],[Sales_Amount]]-Supermarket_Sales_Case_Study[[#This Row],[Profit]]</f>
        <v>857.21788595915996</v>
      </c>
      <c r="O533" s="2">
        <f>(Supermarket_Sales_Case_Study[[#This Row],[Sales_Amount]]-Supermarket_Sales_Case_Study[[#This Row],[Purchase]])/Supermarket_Sales_Case_Study[[#This Row],[Sales_Amount]]</f>
        <v>0.30000000000000171</v>
      </c>
      <c r="P533">
        <f>Supermarket_Sales_Case_Study[[#This Row],[Quantity]]*Supermarket_Sales_Case_Study[[#This Row],[Sales_Amount]]</f>
        <v>7347.5818796499607</v>
      </c>
    </row>
    <row r="534" spans="1:16" x14ac:dyDescent="0.3">
      <c r="A534" t="s">
        <v>564</v>
      </c>
      <c r="B534" t="s">
        <v>14</v>
      </c>
      <c r="C534" t="s">
        <v>15</v>
      </c>
      <c r="D534">
        <v>1140</v>
      </c>
      <c r="E534" t="s">
        <v>26</v>
      </c>
      <c r="F534" t="s">
        <v>17</v>
      </c>
      <c r="G534" t="s">
        <v>33</v>
      </c>
      <c r="H534" s="1">
        <v>45331</v>
      </c>
      <c r="I534">
        <v>268.64899994440299</v>
      </c>
      <c r="J534">
        <v>7</v>
      </c>
      <c r="K534">
        <v>1880.5429996108201</v>
      </c>
      <c r="L534">
        <v>564.16289988324604</v>
      </c>
      <c r="M534" t="s">
        <v>19</v>
      </c>
      <c r="N534">
        <f>Supermarket_Sales_Case_Study[[#This Row],[Sales_Amount]]-Supermarket_Sales_Case_Study[[#This Row],[Profit]]</f>
        <v>1316.3800997275739</v>
      </c>
      <c r="O534" s="2">
        <f>(Supermarket_Sales_Case_Study[[#This Row],[Sales_Amount]]-Supermarket_Sales_Case_Study[[#This Row],[Purchase]])/Supermarket_Sales_Case_Study[[#This Row],[Sales_Amount]]</f>
        <v>0.3000000000000001</v>
      </c>
      <c r="P534">
        <f>Supermarket_Sales_Case_Study[[#This Row],[Quantity]]*Supermarket_Sales_Case_Study[[#This Row],[Sales_Amount]]</f>
        <v>13163.800997275741</v>
      </c>
    </row>
    <row r="535" spans="1:16" x14ac:dyDescent="0.3">
      <c r="A535" t="s">
        <v>565</v>
      </c>
      <c r="B535" t="s">
        <v>14</v>
      </c>
      <c r="C535" t="s">
        <v>36</v>
      </c>
      <c r="D535">
        <v>2312</v>
      </c>
      <c r="E535" t="s">
        <v>26</v>
      </c>
      <c r="F535" t="s">
        <v>17</v>
      </c>
      <c r="G535" t="s">
        <v>28</v>
      </c>
      <c r="H535" s="1">
        <v>45339</v>
      </c>
      <c r="I535">
        <v>98.754924421608493</v>
      </c>
      <c r="J535">
        <v>3</v>
      </c>
      <c r="K535">
        <v>296.26477326482501</v>
      </c>
      <c r="L535">
        <v>88.879431979447602</v>
      </c>
      <c r="M535" t="s">
        <v>19</v>
      </c>
      <c r="N535">
        <f>Supermarket_Sales_Case_Study[[#This Row],[Sales_Amount]]-Supermarket_Sales_Case_Study[[#This Row],[Profit]]</f>
        <v>207.38534128537742</v>
      </c>
      <c r="O535" s="2">
        <f>(Supermarket_Sales_Case_Study[[#This Row],[Sales_Amount]]-Supermarket_Sales_Case_Study[[#This Row],[Purchase]])/Supermarket_Sales_Case_Study[[#This Row],[Sales_Amount]]</f>
        <v>0.30000000000000027</v>
      </c>
      <c r="P535">
        <f>Supermarket_Sales_Case_Study[[#This Row],[Quantity]]*Supermarket_Sales_Case_Study[[#This Row],[Sales_Amount]]</f>
        <v>888.79431979447509</v>
      </c>
    </row>
    <row r="536" spans="1:16" x14ac:dyDescent="0.3">
      <c r="A536" t="s">
        <v>566</v>
      </c>
      <c r="B536" t="s">
        <v>21</v>
      </c>
      <c r="C536" t="s">
        <v>30</v>
      </c>
      <c r="D536">
        <v>1729</v>
      </c>
      <c r="E536" t="s">
        <v>16</v>
      </c>
      <c r="F536" t="s">
        <v>17</v>
      </c>
      <c r="G536" t="s">
        <v>31</v>
      </c>
      <c r="H536" s="1">
        <v>45342</v>
      </c>
      <c r="I536">
        <v>170.044369562143</v>
      </c>
      <c r="J536">
        <v>7</v>
      </c>
      <c r="K536">
        <v>1190.3105869349999</v>
      </c>
      <c r="L536">
        <v>357.09317608050202</v>
      </c>
      <c r="M536" t="s">
        <v>24</v>
      </c>
      <c r="N536">
        <f>Supermarket_Sales_Case_Study[[#This Row],[Sales_Amount]]-Supermarket_Sales_Case_Study[[#This Row],[Profit]]</f>
        <v>833.21741085449798</v>
      </c>
      <c r="O536" s="2">
        <f>(Supermarket_Sales_Case_Study[[#This Row],[Sales_Amount]]-Supermarket_Sales_Case_Study[[#This Row],[Purchase]])/Supermarket_Sales_Case_Study[[#This Row],[Sales_Amount]]</f>
        <v>0.30000000000000165</v>
      </c>
      <c r="P536">
        <f>Supermarket_Sales_Case_Study[[#This Row],[Quantity]]*Supermarket_Sales_Case_Study[[#This Row],[Sales_Amount]]</f>
        <v>8332.1741085449994</v>
      </c>
    </row>
    <row r="537" spans="1:16" x14ac:dyDescent="0.3">
      <c r="A537" t="s">
        <v>567</v>
      </c>
      <c r="B537" t="s">
        <v>39</v>
      </c>
      <c r="C537" t="s">
        <v>36</v>
      </c>
      <c r="D537">
        <v>1588</v>
      </c>
      <c r="E537" t="s">
        <v>16</v>
      </c>
      <c r="F537" t="s">
        <v>22</v>
      </c>
      <c r="G537" t="s">
        <v>31</v>
      </c>
      <c r="H537" s="1">
        <v>45334</v>
      </c>
      <c r="I537">
        <v>238.928732354939</v>
      </c>
      <c r="J537">
        <v>7</v>
      </c>
      <c r="K537">
        <v>1672.50112648457</v>
      </c>
      <c r="L537">
        <v>501.75033794537302</v>
      </c>
      <c r="M537" t="s">
        <v>19</v>
      </c>
      <c r="N537">
        <f>Supermarket_Sales_Case_Study[[#This Row],[Sales_Amount]]-Supermarket_Sales_Case_Study[[#This Row],[Profit]]</f>
        <v>1170.7507885391969</v>
      </c>
      <c r="O537" s="2">
        <f>(Supermarket_Sales_Case_Study[[#This Row],[Sales_Amount]]-Supermarket_Sales_Case_Study[[#This Row],[Purchase]])/Supermarket_Sales_Case_Study[[#This Row],[Sales_Amount]]</f>
        <v>0.30000000000000121</v>
      </c>
      <c r="P537">
        <f>Supermarket_Sales_Case_Study[[#This Row],[Quantity]]*Supermarket_Sales_Case_Study[[#This Row],[Sales_Amount]]</f>
        <v>11707.507885391989</v>
      </c>
    </row>
    <row r="538" spans="1:16" x14ac:dyDescent="0.3">
      <c r="A538" t="s">
        <v>568</v>
      </c>
      <c r="B538" t="s">
        <v>21</v>
      </c>
      <c r="C538" t="s">
        <v>36</v>
      </c>
      <c r="D538">
        <v>1410</v>
      </c>
      <c r="E538" t="s">
        <v>16</v>
      </c>
      <c r="F538" t="s">
        <v>22</v>
      </c>
      <c r="G538" t="s">
        <v>37</v>
      </c>
      <c r="H538" s="1">
        <v>45346</v>
      </c>
      <c r="I538">
        <v>130.703237065151</v>
      </c>
      <c r="J538">
        <v>2</v>
      </c>
      <c r="K538">
        <v>261.406474130302</v>
      </c>
      <c r="L538">
        <v>78.421942239090697</v>
      </c>
      <c r="M538" t="s">
        <v>34</v>
      </c>
      <c r="N538">
        <f>Supermarket_Sales_Case_Study[[#This Row],[Sales_Amount]]-Supermarket_Sales_Case_Study[[#This Row],[Profit]]</f>
        <v>182.9845318912113</v>
      </c>
      <c r="O538" s="2">
        <f>(Supermarket_Sales_Case_Study[[#This Row],[Sales_Amount]]-Supermarket_Sales_Case_Study[[#This Row],[Purchase]])/Supermarket_Sales_Case_Study[[#This Row],[Sales_Amount]]</f>
        <v>0.30000000000000038</v>
      </c>
      <c r="P538">
        <f>Supermarket_Sales_Case_Study[[#This Row],[Quantity]]*Supermarket_Sales_Case_Study[[#This Row],[Sales_Amount]]</f>
        <v>522.812948260604</v>
      </c>
    </row>
    <row r="539" spans="1:16" x14ac:dyDescent="0.3">
      <c r="A539" t="s">
        <v>569</v>
      </c>
      <c r="B539" t="s">
        <v>39</v>
      </c>
      <c r="C539" t="s">
        <v>15</v>
      </c>
      <c r="D539">
        <v>1376</v>
      </c>
      <c r="E539" t="s">
        <v>26</v>
      </c>
      <c r="F539" t="s">
        <v>22</v>
      </c>
      <c r="G539" t="s">
        <v>37</v>
      </c>
      <c r="H539" s="1">
        <v>45379</v>
      </c>
      <c r="I539">
        <v>58.754257235795798</v>
      </c>
      <c r="J539">
        <v>7</v>
      </c>
      <c r="K539">
        <v>411.27980065057</v>
      </c>
      <c r="L539">
        <v>123.38394019517099</v>
      </c>
      <c r="M539" t="s">
        <v>24</v>
      </c>
      <c r="N539">
        <f>Supermarket_Sales_Case_Study[[#This Row],[Sales_Amount]]-Supermarket_Sales_Case_Study[[#This Row],[Profit]]</f>
        <v>287.89586045539897</v>
      </c>
      <c r="O539" s="2">
        <f>(Supermarket_Sales_Case_Study[[#This Row],[Sales_Amount]]-Supermarket_Sales_Case_Study[[#This Row],[Purchase]])/Supermarket_Sales_Case_Study[[#This Row],[Sales_Amount]]</f>
        <v>0.30000000000000004</v>
      </c>
      <c r="P539">
        <f>Supermarket_Sales_Case_Study[[#This Row],[Quantity]]*Supermarket_Sales_Case_Study[[#This Row],[Sales_Amount]]</f>
        <v>2878.95860455399</v>
      </c>
    </row>
    <row r="540" spans="1:16" x14ac:dyDescent="0.3">
      <c r="A540" t="s">
        <v>570</v>
      </c>
      <c r="B540" t="s">
        <v>39</v>
      </c>
      <c r="C540" t="s">
        <v>36</v>
      </c>
      <c r="D540">
        <v>2407</v>
      </c>
      <c r="E540" t="s">
        <v>16</v>
      </c>
      <c r="F540" t="s">
        <v>22</v>
      </c>
      <c r="G540" t="s">
        <v>18</v>
      </c>
      <c r="H540" s="1">
        <v>45340</v>
      </c>
      <c r="I540">
        <v>147.735779926487</v>
      </c>
      <c r="J540">
        <v>1</v>
      </c>
      <c r="K540">
        <v>147.735779926487</v>
      </c>
      <c r="L540">
        <v>44.320733977946098</v>
      </c>
      <c r="M540" t="s">
        <v>24</v>
      </c>
      <c r="N540">
        <f>Supermarket_Sales_Case_Study[[#This Row],[Sales_Amount]]-Supermarket_Sales_Case_Study[[#This Row],[Profit]]</f>
        <v>103.41504594854089</v>
      </c>
      <c r="O540" s="2">
        <f>(Supermarket_Sales_Case_Study[[#This Row],[Sales_Amount]]-Supermarket_Sales_Case_Study[[#This Row],[Purchase]])/Supermarket_Sales_Case_Study[[#This Row],[Sales_Amount]]</f>
        <v>0.30000000000000004</v>
      </c>
      <c r="P540">
        <f>Supermarket_Sales_Case_Study[[#This Row],[Quantity]]*Supermarket_Sales_Case_Study[[#This Row],[Sales_Amount]]</f>
        <v>147.735779926487</v>
      </c>
    </row>
    <row r="541" spans="1:16" x14ac:dyDescent="0.3">
      <c r="A541" t="s">
        <v>571</v>
      </c>
      <c r="B541" t="s">
        <v>39</v>
      </c>
      <c r="C541" t="s">
        <v>15</v>
      </c>
      <c r="D541">
        <v>2175</v>
      </c>
      <c r="E541" t="s">
        <v>16</v>
      </c>
      <c r="F541" t="s">
        <v>22</v>
      </c>
      <c r="G541" t="s">
        <v>28</v>
      </c>
      <c r="H541" s="1">
        <v>45381</v>
      </c>
      <c r="I541">
        <v>26.014531015478202</v>
      </c>
      <c r="J541">
        <v>5</v>
      </c>
      <c r="K541">
        <v>130.072655077391</v>
      </c>
      <c r="L541">
        <v>39.021796523217297</v>
      </c>
      <c r="M541" t="s">
        <v>34</v>
      </c>
      <c r="N541">
        <f>Supermarket_Sales_Case_Study[[#This Row],[Sales_Amount]]-Supermarket_Sales_Case_Study[[#This Row],[Profit]]</f>
        <v>91.050858554173715</v>
      </c>
      <c r="O541" s="2">
        <f>(Supermarket_Sales_Case_Study[[#This Row],[Sales_Amount]]-Supermarket_Sales_Case_Study[[#This Row],[Purchase]])/Supermarket_Sales_Case_Study[[#This Row],[Sales_Amount]]</f>
        <v>0.29999999999999993</v>
      </c>
      <c r="P541">
        <f>Supermarket_Sales_Case_Study[[#This Row],[Quantity]]*Supermarket_Sales_Case_Study[[#This Row],[Sales_Amount]]</f>
        <v>650.36327538695502</v>
      </c>
    </row>
    <row r="542" spans="1:16" x14ac:dyDescent="0.3">
      <c r="A542" t="s">
        <v>572</v>
      </c>
      <c r="B542" t="s">
        <v>39</v>
      </c>
      <c r="C542" t="s">
        <v>30</v>
      </c>
      <c r="D542">
        <v>1750</v>
      </c>
      <c r="E542" t="s">
        <v>16</v>
      </c>
      <c r="F542" t="s">
        <v>22</v>
      </c>
      <c r="G542" t="s">
        <v>23</v>
      </c>
      <c r="H542" s="1">
        <v>45371</v>
      </c>
      <c r="I542">
        <v>283.29120166066002</v>
      </c>
      <c r="J542">
        <v>9</v>
      </c>
      <c r="K542">
        <v>2549.6208149459399</v>
      </c>
      <c r="L542">
        <v>764.88624448378198</v>
      </c>
      <c r="M542" t="s">
        <v>19</v>
      </c>
      <c r="N542">
        <f>Supermarket_Sales_Case_Study[[#This Row],[Sales_Amount]]-Supermarket_Sales_Case_Study[[#This Row],[Profit]]</f>
        <v>1784.734570462158</v>
      </c>
      <c r="O542" s="2">
        <f>(Supermarket_Sales_Case_Study[[#This Row],[Sales_Amount]]-Supermarket_Sales_Case_Study[[#This Row],[Purchase]])/Supermarket_Sales_Case_Study[[#This Row],[Sales_Amount]]</f>
        <v>0.3</v>
      </c>
      <c r="P542">
        <f>Supermarket_Sales_Case_Study[[#This Row],[Quantity]]*Supermarket_Sales_Case_Study[[#This Row],[Sales_Amount]]</f>
        <v>22946.587334513461</v>
      </c>
    </row>
    <row r="543" spans="1:16" x14ac:dyDescent="0.3">
      <c r="A543" t="s">
        <v>573</v>
      </c>
      <c r="B543" t="s">
        <v>39</v>
      </c>
      <c r="C543" t="s">
        <v>15</v>
      </c>
      <c r="D543">
        <v>1626</v>
      </c>
      <c r="E543" t="s">
        <v>16</v>
      </c>
      <c r="F543" t="s">
        <v>22</v>
      </c>
      <c r="G543" t="s">
        <v>28</v>
      </c>
      <c r="H543" s="1">
        <v>45348</v>
      </c>
      <c r="I543">
        <v>31.698149506542102</v>
      </c>
      <c r="J543">
        <v>7</v>
      </c>
      <c r="K543">
        <v>221.88704654579499</v>
      </c>
      <c r="L543">
        <v>66.566113963738502</v>
      </c>
      <c r="M543" t="s">
        <v>34</v>
      </c>
      <c r="N543">
        <f>Supermarket_Sales_Case_Study[[#This Row],[Sales_Amount]]-Supermarket_Sales_Case_Study[[#This Row],[Profit]]</f>
        <v>155.32093258205649</v>
      </c>
      <c r="O543" s="2">
        <f>(Supermarket_Sales_Case_Study[[#This Row],[Sales_Amount]]-Supermarket_Sales_Case_Study[[#This Row],[Purchase]])/Supermarket_Sales_Case_Study[[#This Row],[Sales_Amount]]</f>
        <v>0.30000000000000004</v>
      </c>
      <c r="P543">
        <f>Supermarket_Sales_Case_Study[[#This Row],[Quantity]]*Supermarket_Sales_Case_Study[[#This Row],[Sales_Amount]]</f>
        <v>1553.209325820565</v>
      </c>
    </row>
    <row r="544" spans="1:16" x14ac:dyDescent="0.3">
      <c r="A544" t="s">
        <v>574</v>
      </c>
      <c r="B544" t="s">
        <v>14</v>
      </c>
      <c r="C544" t="s">
        <v>30</v>
      </c>
      <c r="D544">
        <v>2342</v>
      </c>
      <c r="E544" t="s">
        <v>16</v>
      </c>
      <c r="F544" t="s">
        <v>17</v>
      </c>
      <c r="G544" t="s">
        <v>18</v>
      </c>
      <c r="H544" s="1">
        <v>45368</v>
      </c>
      <c r="I544">
        <v>137.152447422667</v>
      </c>
      <c r="J544">
        <v>7</v>
      </c>
      <c r="K544">
        <v>960.06713195867303</v>
      </c>
      <c r="L544">
        <v>288.02013958760199</v>
      </c>
      <c r="M544" t="s">
        <v>34</v>
      </c>
      <c r="N544">
        <f>Supermarket_Sales_Case_Study[[#This Row],[Sales_Amount]]-Supermarket_Sales_Case_Study[[#This Row],[Profit]]</f>
        <v>672.04699237107104</v>
      </c>
      <c r="O544" s="2">
        <f>(Supermarket_Sales_Case_Study[[#This Row],[Sales_Amount]]-Supermarket_Sales_Case_Study[[#This Row],[Purchase]])/Supermarket_Sales_Case_Study[[#This Row],[Sales_Amount]]</f>
        <v>0.3000000000000001</v>
      </c>
      <c r="P544">
        <f>Supermarket_Sales_Case_Study[[#This Row],[Quantity]]*Supermarket_Sales_Case_Study[[#This Row],[Sales_Amount]]</f>
        <v>6720.4699237107116</v>
      </c>
    </row>
    <row r="545" spans="1:16" x14ac:dyDescent="0.3">
      <c r="A545" t="s">
        <v>575</v>
      </c>
      <c r="B545" t="s">
        <v>21</v>
      </c>
      <c r="C545" t="s">
        <v>15</v>
      </c>
      <c r="D545">
        <v>2392</v>
      </c>
      <c r="E545" t="s">
        <v>26</v>
      </c>
      <c r="F545" t="s">
        <v>22</v>
      </c>
      <c r="G545" t="s">
        <v>37</v>
      </c>
      <c r="H545" s="1">
        <v>45306</v>
      </c>
      <c r="I545">
        <v>163.66556571567199</v>
      </c>
      <c r="J545">
        <v>2</v>
      </c>
      <c r="K545">
        <v>327.331131431345</v>
      </c>
      <c r="L545">
        <v>98.199339429403494</v>
      </c>
      <c r="M545" t="s">
        <v>19</v>
      </c>
      <c r="N545">
        <f>Supermarket_Sales_Case_Study[[#This Row],[Sales_Amount]]-Supermarket_Sales_Case_Study[[#This Row],[Profit]]</f>
        <v>229.13179200194151</v>
      </c>
      <c r="O545" s="2">
        <f>(Supermarket_Sales_Case_Study[[#This Row],[Sales_Amount]]-Supermarket_Sales_Case_Study[[#This Row],[Purchase]])/Supermarket_Sales_Case_Study[[#This Row],[Sales_Amount]]</f>
        <v>0.3</v>
      </c>
      <c r="P545">
        <f>Supermarket_Sales_Case_Study[[#This Row],[Quantity]]*Supermarket_Sales_Case_Study[[#This Row],[Sales_Amount]]</f>
        <v>654.66226286269</v>
      </c>
    </row>
    <row r="546" spans="1:16" x14ac:dyDescent="0.3">
      <c r="A546" t="s">
        <v>576</v>
      </c>
      <c r="B546" t="s">
        <v>14</v>
      </c>
      <c r="C546" t="s">
        <v>36</v>
      </c>
      <c r="D546">
        <v>1994</v>
      </c>
      <c r="E546" t="s">
        <v>26</v>
      </c>
      <c r="F546" t="s">
        <v>17</v>
      </c>
      <c r="G546" t="s">
        <v>28</v>
      </c>
      <c r="H546" s="1">
        <v>45318</v>
      </c>
      <c r="I546">
        <v>295.73811136331199</v>
      </c>
      <c r="J546">
        <v>8</v>
      </c>
      <c r="K546">
        <v>2365.9048909065</v>
      </c>
      <c r="L546">
        <v>709.77146727194997</v>
      </c>
      <c r="M546" t="s">
        <v>34</v>
      </c>
      <c r="N546">
        <f>Supermarket_Sales_Case_Study[[#This Row],[Sales_Amount]]-Supermarket_Sales_Case_Study[[#This Row],[Profit]]</f>
        <v>1656.1334236345501</v>
      </c>
      <c r="O546" s="2">
        <f>(Supermarket_Sales_Case_Study[[#This Row],[Sales_Amount]]-Supermarket_Sales_Case_Study[[#This Row],[Purchase]])/Supermarket_Sales_Case_Study[[#This Row],[Sales_Amount]]</f>
        <v>0.29999999999999993</v>
      </c>
      <c r="P546">
        <f>Supermarket_Sales_Case_Study[[#This Row],[Quantity]]*Supermarket_Sales_Case_Study[[#This Row],[Sales_Amount]]</f>
        <v>18927.239127252</v>
      </c>
    </row>
    <row r="547" spans="1:16" x14ac:dyDescent="0.3">
      <c r="A547" t="s">
        <v>577</v>
      </c>
      <c r="B547" t="s">
        <v>39</v>
      </c>
      <c r="C547" t="s">
        <v>15</v>
      </c>
      <c r="D547">
        <v>1702</v>
      </c>
      <c r="E547" t="s">
        <v>16</v>
      </c>
      <c r="F547" t="s">
        <v>17</v>
      </c>
      <c r="G547" t="s">
        <v>28</v>
      </c>
      <c r="H547" s="1">
        <v>45359</v>
      </c>
      <c r="I547">
        <v>58.146328856429598</v>
      </c>
      <c r="J547">
        <v>3</v>
      </c>
      <c r="K547">
        <v>174.43898656928801</v>
      </c>
      <c r="L547">
        <v>52.331695970786598</v>
      </c>
      <c r="M547" t="s">
        <v>19</v>
      </c>
      <c r="N547">
        <f>Supermarket_Sales_Case_Study[[#This Row],[Sales_Amount]]-Supermarket_Sales_Case_Study[[#This Row],[Profit]]</f>
        <v>122.10729059850141</v>
      </c>
      <c r="O547" s="2">
        <f>(Supermarket_Sales_Case_Study[[#This Row],[Sales_Amount]]-Supermarket_Sales_Case_Study[[#This Row],[Purchase]])/Supermarket_Sales_Case_Study[[#This Row],[Sales_Amount]]</f>
        <v>0.3000000000000011</v>
      </c>
      <c r="P547">
        <f>Supermarket_Sales_Case_Study[[#This Row],[Quantity]]*Supermarket_Sales_Case_Study[[#This Row],[Sales_Amount]]</f>
        <v>523.31695970786404</v>
      </c>
    </row>
    <row r="548" spans="1:16" x14ac:dyDescent="0.3">
      <c r="A548" t="s">
        <v>578</v>
      </c>
      <c r="B548" t="s">
        <v>21</v>
      </c>
      <c r="C548" t="s">
        <v>15</v>
      </c>
      <c r="D548">
        <v>1461</v>
      </c>
      <c r="E548" t="s">
        <v>16</v>
      </c>
      <c r="F548" t="s">
        <v>22</v>
      </c>
      <c r="G548" t="s">
        <v>37</v>
      </c>
      <c r="H548" s="1">
        <v>45371</v>
      </c>
      <c r="I548">
        <v>43.185140397583901</v>
      </c>
      <c r="J548">
        <v>8</v>
      </c>
      <c r="K548">
        <v>345.48112318067098</v>
      </c>
      <c r="L548">
        <v>103.64433695420099</v>
      </c>
      <c r="M548" t="s">
        <v>19</v>
      </c>
      <c r="N548">
        <f>Supermarket_Sales_Case_Study[[#This Row],[Sales_Amount]]-Supermarket_Sales_Case_Study[[#This Row],[Profit]]</f>
        <v>241.83678622647</v>
      </c>
      <c r="O548" s="2">
        <f>(Supermarket_Sales_Case_Study[[#This Row],[Sales_Amount]]-Supermarket_Sales_Case_Study[[#This Row],[Purchase]])/Supermarket_Sales_Case_Study[[#This Row],[Sales_Amount]]</f>
        <v>0.2999999999999991</v>
      </c>
      <c r="P548">
        <f>Supermarket_Sales_Case_Study[[#This Row],[Quantity]]*Supermarket_Sales_Case_Study[[#This Row],[Sales_Amount]]</f>
        <v>2763.8489854453678</v>
      </c>
    </row>
    <row r="549" spans="1:16" x14ac:dyDescent="0.3">
      <c r="A549" t="s">
        <v>579</v>
      </c>
      <c r="B549" t="s">
        <v>39</v>
      </c>
      <c r="C549" t="s">
        <v>30</v>
      </c>
      <c r="D549">
        <v>1011</v>
      </c>
      <c r="E549" t="s">
        <v>16</v>
      </c>
      <c r="F549" t="s">
        <v>17</v>
      </c>
      <c r="G549" t="s">
        <v>18</v>
      </c>
      <c r="H549" s="1">
        <v>45355</v>
      </c>
      <c r="I549">
        <v>12.524782648137601</v>
      </c>
      <c r="J549">
        <v>3</v>
      </c>
      <c r="K549">
        <v>37.574347944412899</v>
      </c>
      <c r="L549">
        <v>11.272304383323799</v>
      </c>
      <c r="M549" t="s">
        <v>34</v>
      </c>
      <c r="N549">
        <f>Supermarket_Sales_Case_Study[[#This Row],[Sales_Amount]]-Supermarket_Sales_Case_Study[[#This Row],[Profit]]</f>
        <v>26.3020435610891</v>
      </c>
      <c r="O549" s="2">
        <f>(Supermarket_Sales_Case_Study[[#This Row],[Sales_Amount]]-Supermarket_Sales_Case_Study[[#This Row],[Purchase]])/Supermarket_Sales_Case_Study[[#This Row],[Sales_Amount]]</f>
        <v>0.2999999999999981</v>
      </c>
      <c r="P549">
        <f>Supermarket_Sales_Case_Study[[#This Row],[Quantity]]*Supermarket_Sales_Case_Study[[#This Row],[Sales_Amount]]</f>
        <v>112.72304383323871</v>
      </c>
    </row>
    <row r="550" spans="1:16" x14ac:dyDescent="0.3">
      <c r="A550" t="s">
        <v>580</v>
      </c>
      <c r="B550" t="s">
        <v>21</v>
      </c>
      <c r="C550" t="s">
        <v>36</v>
      </c>
      <c r="D550">
        <v>2179</v>
      </c>
      <c r="E550" t="s">
        <v>26</v>
      </c>
      <c r="F550" t="s">
        <v>17</v>
      </c>
      <c r="G550" t="s">
        <v>37</v>
      </c>
      <c r="H550" s="1">
        <v>45321</v>
      </c>
      <c r="I550">
        <v>55.1157166920976</v>
      </c>
      <c r="J550">
        <v>7</v>
      </c>
      <c r="K550">
        <v>385.81001684468299</v>
      </c>
      <c r="L550">
        <v>115.743005053405</v>
      </c>
      <c r="M550" t="s">
        <v>19</v>
      </c>
      <c r="N550">
        <f>Supermarket_Sales_Case_Study[[#This Row],[Sales_Amount]]-Supermarket_Sales_Case_Study[[#This Row],[Profit]]</f>
        <v>270.06701179127799</v>
      </c>
      <c r="O550" s="2">
        <f>(Supermarket_Sales_Case_Study[[#This Row],[Sales_Amount]]-Supermarket_Sales_Case_Study[[#This Row],[Purchase]])/Supermarket_Sales_Case_Study[[#This Row],[Sales_Amount]]</f>
        <v>0.30000000000000027</v>
      </c>
      <c r="P550">
        <f>Supermarket_Sales_Case_Study[[#This Row],[Quantity]]*Supermarket_Sales_Case_Study[[#This Row],[Sales_Amount]]</f>
        <v>2700.6701179127808</v>
      </c>
    </row>
    <row r="551" spans="1:16" x14ac:dyDescent="0.3">
      <c r="A551" t="s">
        <v>581</v>
      </c>
      <c r="B551" t="s">
        <v>14</v>
      </c>
      <c r="C551" t="s">
        <v>15</v>
      </c>
      <c r="D551">
        <v>1476</v>
      </c>
      <c r="E551" t="s">
        <v>26</v>
      </c>
      <c r="F551" t="s">
        <v>17</v>
      </c>
      <c r="G551" t="s">
        <v>31</v>
      </c>
      <c r="H551" s="1">
        <v>45327</v>
      </c>
      <c r="I551">
        <v>70.109163929623605</v>
      </c>
      <c r="J551">
        <v>2</v>
      </c>
      <c r="K551">
        <v>140.21832785924701</v>
      </c>
      <c r="L551">
        <v>42.065498357774104</v>
      </c>
      <c r="M551" t="s">
        <v>34</v>
      </c>
      <c r="N551">
        <f>Supermarket_Sales_Case_Study[[#This Row],[Sales_Amount]]-Supermarket_Sales_Case_Study[[#This Row],[Profit]]</f>
        <v>98.152829501472908</v>
      </c>
      <c r="O551" s="2">
        <f>(Supermarket_Sales_Case_Study[[#This Row],[Sales_Amount]]-Supermarket_Sales_Case_Study[[#This Row],[Purchase]])/Supermarket_Sales_Case_Study[[#This Row],[Sales_Amount]]</f>
        <v>0.3</v>
      </c>
      <c r="P551">
        <f>Supermarket_Sales_Case_Study[[#This Row],[Quantity]]*Supermarket_Sales_Case_Study[[#This Row],[Sales_Amount]]</f>
        <v>280.43665571849402</v>
      </c>
    </row>
    <row r="552" spans="1:16" x14ac:dyDescent="0.3">
      <c r="A552" t="s">
        <v>582</v>
      </c>
      <c r="B552" t="s">
        <v>21</v>
      </c>
      <c r="C552" t="s">
        <v>36</v>
      </c>
      <c r="D552">
        <v>1938</v>
      </c>
      <c r="E552" t="s">
        <v>16</v>
      </c>
      <c r="F552" t="s">
        <v>17</v>
      </c>
      <c r="G552" t="s">
        <v>23</v>
      </c>
      <c r="H552" s="1">
        <v>45358</v>
      </c>
      <c r="I552">
        <v>192.868473059096</v>
      </c>
      <c r="J552">
        <v>4</v>
      </c>
      <c r="K552">
        <v>771.47389223638697</v>
      </c>
      <c r="L552">
        <v>231.44216767091601</v>
      </c>
      <c r="M552" t="s">
        <v>19</v>
      </c>
      <c r="N552">
        <f>Supermarket_Sales_Case_Study[[#This Row],[Sales_Amount]]-Supermarket_Sales_Case_Study[[#This Row],[Profit]]</f>
        <v>540.031724565471</v>
      </c>
      <c r="O552" s="2">
        <f>(Supermarket_Sales_Case_Study[[#This Row],[Sales_Amount]]-Supermarket_Sales_Case_Study[[#This Row],[Purchase]])/Supermarket_Sales_Case_Study[[#This Row],[Sales_Amount]]</f>
        <v>0.29999999999999988</v>
      </c>
      <c r="P552">
        <f>Supermarket_Sales_Case_Study[[#This Row],[Quantity]]*Supermarket_Sales_Case_Study[[#This Row],[Sales_Amount]]</f>
        <v>3085.8955689455479</v>
      </c>
    </row>
    <row r="553" spans="1:16" x14ac:dyDescent="0.3">
      <c r="A553" t="s">
        <v>583</v>
      </c>
      <c r="B553" t="s">
        <v>21</v>
      </c>
      <c r="C553" t="s">
        <v>15</v>
      </c>
      <c r="D553">
        <v>1400</v>
      </c>
      <c r="E553" t="s">
        <v>26</v>
      </c>
      <c r="F553" t="s">
        <v>22</v>
      </c>
      <c r="G553" t="s">
        <v>37</v>
      </c>
      <c r="H553" s="1">
        <v>45377</v>
      </c>
      <c r="I553">
        <v>73.714969213506095</v>
      </c>
      <c r="J553">
        <v>6</v>
      </c>
      <c r="K553">
        <v>442.289815281036</v>
      </c>
      <c r="L553">
        <v>132.68694458431099</v>
      </c>
      <c r="M553" t="s">
        <v>24</v>
      </c>
      <c r="N553">
        <f>Supermarket_Sales_Case_Study[[#This Row],[Sales_Amount]]-Supermarket_Sales_Case_Study[[#This Row],[Profit]]</f>
        <v>309.60287069672501</v>
      </c>
      <c r="O553" s="2">
        <f>(Supermarket_Sales_Case_Study[[#This Row],[Sales_Amount]]-Supermarket_Sales_Case_Study[[#This Row],[Purchase]])/Supermarket_Sales_Case_Study[[#This Row],[Sales_Amount]]</f>
        <v>0.30000000000000043</v>
      </c>
      <c r="P553">
        <f>Supermarket_Sales_Case_Study[[#This Row],[Quantity]]*Supermarket_Sales_Case_Study[[#This Row],[Sales_Amount]]</f>
        <v>2653.738891686216</v>
      </c>
    </row>
    <row r="554" spans="1:16" x14ac:dyDescent="0.3">
      <c r="A554" t="s">
        <v>584</v>
      </c>
      <c r="B554" t="s">
        <v>21</v>
      </c>
      <c r="C554" t="s">
        <v>15</v>
      </c>
      <c r="D554">
        <v>1807</v>
      </c>
      <c r="E554" t="s">
        <v>26</v>
      </c>
      <c r="F554" t="s">
        <v>22</v>
      </c>
      <c r="G554" t="s">
        <v>18</v>
      </c>
      <c r="H554" s="1">
        <v>45377</v>
      </c>
      <c r="I554">
        <v>15.9510362715043</v>
      </c>
      <c r="J554">
        <v>9</v>
      </c>
      <c r="K554">
        <v>143.559326443538</v>
      </c>
      <c r="L554">
        <v>43.067797933061598</v>
      </c>
      <c r="M554" t="s">
        <v>19</v>
      </c>
      <c r="N554">
        <f>Supermarket_Sales_Case_Study[[#This Row],[Sales_Amount]]-Supermarket_Sales_Case_Study[[#This Row],[Profit]]</f>
        <v>100.4915285104764</v>
      </c>
      <c r="O554" s="2">
        <f>(Supermarket_Sales_Case_Study[[#This Row],[Sales_Amount]]-Supermarket_Sales_Case_Study[[#This Row],[Purchase]])/Supermarket_Sales_Case_Study[[#This Row],[Sales_Amount]]</f>
        <v>0.30000000000000138</v>
      </c>
      <c r="P554">
        <f>Supermarket_Sales_Case_Study[[#This Row],[Quantity]]*Supermarket_Sales_Case_Study[[#This Row],[Sales_Amount]]</f>
        <v>1292.0339379918419</v>
      </c>
    </row>
    <row r="555" spans="1:16" x14ac:dyDescent="0.3">
      <c r="A555" t="s">
        <v>585</v>
      </c>
      <c r="B555" t="s">
        <v>21</v>
      </c>
      <c r="C555" t="s">
        <v>36</v>
      </c>
      <c r="D555">
        <v>1176</v>
      </c>
      <c r="E555" t="s">
        <v>16</v>
      </c>
      <c r="F555" t="s">
        <v>22</v>
      </c>
      <c r="G555" t="s">
        <v>33</v>
      </c>
      <c r="H555" s="1">
        <v>45340</v>
      </c>
      <c r="I555">
        <v>249.719320195721</v>
      </c>
      <c r="J555">
        <v>5</v>
      </c>
      <c r="K555">
        <v>1248.5966009786</v>
      </c>
      <c r="L555">
        <v>374.57898029358199</v>
      </c>
      <c r="M555" t="s">
        <v>19</v>
      </c>
      <c r="N555">
        <f>Supermarket_Sales_Case_Study[[#This Row],[Sales_Amount]]-Supermarket_Sales_Case_Study[[#This Row],[Profit]]</f>
        <v>874.01762068501807</v>
      </c>
      <c r="O555" s="2">
        <f>(Supermarket_Sales_Case_Study[[#This Row],[Sales_Amount]]-Supermarket_Sales_Case_Study[[#This Row],[Purchase]])/Supermarket_Sales_Case_Study[[#This Row],[Sales_Amount]]</f>
        <v>0.30000000000000154</v>
      </c>
      <c r="P555">
        <f>Supermarket_Sales_Case_Study[[#This Row],[Quantity]]*Supermarket_Sales_Case_Study[[#This Row],[Sales_Amount]]</f>
        <v>6242.9830048929998</v>
      </c>
    </row>
    <row r="556" spans="1:16" x14ac:dyDescent="0.3">
      <c r="A556" t="s">
        <v>586</v>
      </c>
      <c r="B556" t="s">
        <v>21</v>
      </c>
      <c r="C556" t="s">
        <v>15</v>
      </c>
      <c r="D556">
        <v>2364</v>
      </c>
      <c r="E556" t="s">
        <v>26</v>
      </c>
      <c r="F556" t="s">
        <v>22</v>
      </c>
      <c r="G556" t="s">
        <v>31</v>
      </c>
      <c r="H556" s="1">
        <v>45367</v>
      </c>
      <c r="I556">
        <v>116.02275329115</v>
      </c>
      <c r="J556">
        <v>9</v>
      </c>
      <c r="K556">
        <v>1044.2047796203501</v>
      </c>
      <c r="L556">
        <v>313.26143388610598</v>
      </c>
      <c r="M556" t="s">
        <v>34</v>
      </c>
      <c r="N556">
        <f>Supermarket_Sales_Case_Study[[#This Row],[Sales_Amount]]-Supermarket_Sales_Case_Study[[#This Row],[Profit]]</f>
        <v>730.94334573424408</v>
      </c>
      <c r="O556" s="2">
        <f>(Supermarket_Sales_Case_Study[[#This Row],[Sales_Amount]]-Supermarket_Sales_Case_Study[[#This Row],[Purchase]])/Supermarket_Sales_Case_Study[[#This Row],[Sales_Amount]]</f>
        <v>0.30000000000000093</v>
      </c>
      <c r="P556">
        <f>Supermarket_Sales_Case_Study[[#This Row],[Quantity]]*Supermarket_Sales_Case_Study[[#This Row],[Sales_Amount]]</f>
        <v>9397.8430165831505</v>
      </c>
    </row>
    <row r="557" spans="1:16" x14ac:dyDescent="0.3">
      <c r="A557" t="s">
        <v>587</v>
      </c>
      <c r="B557" t="s">
        <v>39</v>
      </c>
      <c r="C557" t="s">
        <v>36</v>
      </c>
      <c r="D557">
        <v>1056</v>
      </c>
      <c r="E557" t="s">
        <v>26</v>
      </c>
      <c r="F557" t="s">
        <v>22</v>
      </c>
      <c r="G557" t="s">
        <v>33</v>
      </c>
      <c r="H557" s="1">
        <v>45346</v>
      </c>
      <c r="I557">
        <v>112.572039108412</v>
      </c>
      <c r="J557">
        <v>5</v>
      </c>
      <c r="K557">
        <v>562.86019554206405</v>
      </c>
      <c r="L557">
        <v>168.85805866261899</v>
      </c>
      <c r="M557" t="s">
        <v>19</v>
      </c>
      <c r="N557">
        <f>Supermarket_Sales_Case_Study[[#This Row],[Sales_Amount]]-Supermarket_Sales_Case_Study[[#This Row],[Profit]]</f>
        <v>394.00213687944506</v>
      </c>
      <c r="O557" s="2">
        <f>(Supermarket_Sales_Case_Study[[#This Row],[Sales_Amount]]-Supermarket_Sales_Case_Study[[#This Row],[Purchase]])/Supermarket_Sales_Case_Study[[#This Row],[Sales_Amount]]</f>
        <v>0.2999999999999996</v>
      </c>
      <c r="P557">
        <f>Supermarket_Sales_Case_Study[[#This Row],[Quantity]]*Supermarket_Sales_Case_Study[[#This Row],[Sales_Amount]]</f>
        <v>2814.3009777103202</v>
      </c>
    </row>
    <row r="558" spans="1:16" x14ac:dyDescent="0.3">
      <c r="A558" t="s">
        <v>588</v>
      </c>
      <c r="B558" t="s">
        <v>21</v>
      </c>
      <c r="C558" t="s">
        <v>15</v>
      </c>
      <c r="D558">
        <v>1447</v>
      </c>
      <c r="E558" t="s">
        <v>16</v>
      </c>
      <c r="F558" t="s">
        <v>22</v>
      </c>
      <c r="G558" t="s">
        <v>37</v>
      </c>
      <c r="H558" s="1">
        <v>45376</v>
      </c>
      <c r="I558">
        <v>97.718918458698695</v>
      </c>
      <c r="J558">
        <v>8</v>
      </c>
      <c r="K558">
        <v>781.75134766958899</v>
      </c>
      <c r="L558">
        <v>234.525404300876</v>
      </c>
      <c r="M558" t="s">
        <v>24</v>
      </c>
      <c r="N558">
        <f>Supermarket_Sales_Case_Study[[#This Row],[Sales_Amount]]-Supermarket_Sales_Case_Study[[#This Row],[Profit]]</f>
        <v>547.22594336871293</v>
      </c>
      <c r="O558" s="2">
        <f>(Supermarket_Sales_Case_Study[[#This Row],[Sales_Amount]]-Supermarket_Sales_Case_Study[[#This Row],[Purchase]])/Supermarket_Sales_Case_Study[[#This Row],[Sales_Amount]]</f>
        <v>0.29999999999999921</v>
      </c>
      <c r="P558">
        <f>Supermarket_Sales_Case_Study[[#This Row],[Quantity]]*Supermarket_Sales_Case_Study[[#This Row],[Sales_Amount]]</f>
        <v>6254.010781356712</v>
      </c>
    </row>
    <row r="559" spans="1:16" x14ac:dyDescent="0.3">
      <c r="A559" t="s">
        <v>589</v>
      </c>
      <c r="B559" t="s">
        <v>21</v>
      </c>
      <c r="C559" t="s">
        <v>30</v>
      </c>
      <c r="D559">
        <v>1202</v>
      </c>
      <c r="E559" t="s">
        <v>26</v>
      </c>
      <c r="F559" t="s">
        <v>22</v>
      </c>
      <c r="G559" t="s">
        <v>31</v>
      </c>
      <c r="H559" s="1">
        <v>45347</v>
      </c>
      <c r="I559">
        <v>292.85825037246201</v>
      </c>
      <c r="J559">
        <v>1</v>
      </c>
      <c r="K559">
        <v>292.85825037246201</v>
      </c>
      <c r="L559">
        <v>87.857475111738594</v>
      </c>
      <c r="M559" t="s">
        <v>24</v>
      </c>
      <c r="N559">
        <f>Supermarket_Sales_Case_Study[[#This Row],[Sales_Amount]]-Supermarket_Sales_Case_Study[[#This Row],[Profit]]</f>
        <v>205.0007752607234</v>
      </c>
      <c r="O559" s="2">
        <f>(Supermarket_Sales_Case_Study[[#This Row],[Sales_Amount]]-Supermarket_Sales_Case_Study[[#This Row],[Purchase]])/Supermarket_Sales_Case_Study[[#This Row],[Sales_Amount]]</f>
        <v>0.30000000000000004</v>
      </c>
      <c r="P559">
        <f>Supermarket_Sales_Case_Study[[#This Row],[Quantity]]*Supermarket_Sales_Case_Study[[#This Row],[Sales_Amount]]</f>
        <v>292.85825037246201</v>
      </c>
    </row>
    <row r="560" spans="1:16" x14ac:dyDescent="0.3">
      <c r="A560" t="s">
        <v>590</v>
      </c>
      <c r="B560" t="s">
        <v>14</v>
      </c>
      <c r="C560" t="s">
        <v>36</v>
      </c>
      <c r="D560">
        <v>1737</v>
      </c>
      <c r="E560" t="s">
        <v>26</v>
      </c>
      <c r="F560" t="s">
        <v>22</v>
      </c>
      <c r="G560" t="s">
        <v>23</v>
      </c>
      <c r="H560" s="1">
        <v>45359</v>
      </c>
      <c r="I560">
        <v>59.333471019691601</v>
      </c>
      <c r="J560">
        <v>7</v>
      </c>
      <c r="K560">
        <v>415.33429713784102</v>
      </c>
      <c r="L560">
        <v>124.60028914135199</v>
      </c>
      <c r="M560" t="s">
        <v>19</v>
      </c>
      <c r="N560">
        <f>Supermarket_Sales_Case_Study[[#This Row],[Sales_Amount]]-Supermarket_Sales_Case_Study[[#This Row],[Profit]]</f>
        <v>290.73400799648903</v>
      </c>
      <c r="O560" s="2">
        <f>(Supermarket_Sales_Case_Study[[#This Row],[Sales_Amount]]-Supermarket_Sales_Case_Study[[#This Row],[Purchase]])/Supermarket_Sales_Case_Study[[#This Row],[Sales_Amount]]</f>
        <v>0.29999999999999927</v>
      </c>
      <c r="P560">
        <f>Supermarket_Sales_Case_Study[[#This Row],[Quantity]]*Supermarket_Sales_Case_Study[[#This Row],[Sales_Amount]]</f>
        <v>2907.3400799648871</v>
      </c>
    </row>
    <row r="561" spans="1:16" x14ac:dyDescent="0.3">
      <c r="A561" t="s">
        <v>591</v>
      </c>
      <c r="B561" t="s">
        <v>21</v>
      </c>
      <c r="C561" t="s">
        <v>15</v>
      </c>
      <c r="D561">
        <v>1201</v>
      </c>
      <c r="E561" t="s">
        <v>16</v>
      </c>
      <c r="F561" t="s">
        <v>22</v>
      </c>
      <c r="G561" t="s">
        <v>37</v>
      </c>
      <c r="H561" s="1">
        <v>45335</v>
      </c>
      <c r="I561">
        <v>270.489038546438</v>
      </c>
      <c r="J561">
        <v>4</v>
      </c>
      <c r="K561">
        <v>1081.9561541857499</v>
      </c>
      <c r="L561">
        <v>324.58684625572499</v>
      </c>
      <c r="M561" t="s">
        <v>19</v>
      </c>
      <c r="N561">
        <f>Supermarket_Sales_Case_Study[[#This Row],[Sales_Amount]]-Supermarket_Sales_Case_Study[[#This Row],[Profit]]</f>
        <v>757.36930793002489</v>
      </c>
      <c r="O561" s="2">
        <f>(Supermarket_Sales_Case_Study[[#This Row],[Sales_Amount]]-Supermarket_Sales_Case_Study[[#This Row],[Purchase]])/Supermarket_Sales_Case_Study[[#This Row],[Sales_Amount]]</f>
        <v>0.30000000000000004</v>
      </c>
      <c r="P561">
        <f>Supermarket_Sales_Case_Study[[#This Row],[Quantity]]*Supermarket_Sales_Case_Study[[#This Row],[Sales_Amount]]</f>
        <v>4327.8246167429998</v>
      </c>
    </row>
    <row r="562" spans="1:16" x14ac:dyDescent="0.3">
      <c r="A562" t="s">
        <v>592</v>
      </c>
      <c r="B562" t="s">
        <v>14</v>
      </c>
      <c r="C562" t="s">
        <v>15</v>
      </c>
      <c r="D562">
        <v>2353</v>
      </c>
      <c r="E562" t="s">
        <v>26</v>
      </c>
      <c r="F562" t="s">
        <v>22</v>
      </c>
      <c r="G562" t="s">
        <v>23</v>
      </c>
      <c r="H562" s="1">
        <v>45322</v>
      </c>
      <c r="I562">
        <v>235.27296632056701</v>
      </c>
      <c r="J562">
        <v>5</v>
      </c>
      <c r="K562">
        <v>1176.36483160283</v>
      </c>
      <c r="L562">
        <v>352.90944948085098</v>
      </c>
      <c r="M562" t="s">
        <v>24</v>
      </c>
      <c r="N562">
        <f>Supermarket_Sales_Case_Study[[#This Row],[Sales_Amount]]-Supermarket_Sales_Case_Study[[#This Row],[Profit]]</f>
        <v>823.45538212197903</v>
      </c>
      <c r="O562" s="2">
        <f>(Supermarket_Sales_Case_Study[[#This Row],[Sales_Amount]]-Supermarket_Sales_Case_Study[[#This Row],[Purchase]])/Supermarket_Sales_Case_Study[[#This Row],[Sales_Amount]]</f>
        <v>0.30000000000000165</v>
      </c>
      <c r="P562">
        <f>Supermarket_Sales_Case_Study[[#This Row],[Quantity]]*Supermarket_Sales_Case_Study[[#This Row],[Sales_Amount]]</f>
        <v>5881.8241580141503</v>
      </c>
    </row>
    <row r="563" spans="1:16" x14ac:dyDescent="0.3">
      <c r="A563" t="s">
        <v>593</v>
      </c>
      <c r="B563" t="s">
        <v>39</v>
      </c>
      <c r="C563" t="s">
        <v>30</v>
      </c>
      <c r="D563">
        <v>1362</v>
      </c>
      <c r="E563" t="s">
        <v>26</v>
      </c>
      <c r="F563" t="s">
        <v>17</v>
      </c>
      <c r="G563" t="s">
        <v>28</v>
      </c>
      <c r="H563" s="1">
        <v>45349</v>
      </c>
      <c r="I563">
        <v>32.179187094800703</v>
      </c>
      <c r="J563">
        <v>6</v>
      </c>
      <c r="K563">
        <v>193.07512256880401</v>
      </c>
      <c r="L563">
        <v>57.9225367706414</v>
      </c>
      <c r="M563" t="s">
        <v>34</v>
      </c>
      <c r="N563">
        <f>Supermarket_Sales_Case_Study[[#This Row],[Sales_Amount]]-Supermarket_Sales_Case_Study[[#This Row],[Profit]]</f>
        <v>135.15258579816259</v>
      </c>
      <c r="O563" s="2">
        <f>(Supermarket_Sales_Case_Study[[#This Row],[Sales_Amount]]-Supermarket_Sales_Case_Study[[#This Row],[Purchase]])/Supermarket_Sales_Case_Study[[#This Row],[Sales_Amount]]</f>
        <v>0.3000000000000011</v>
      </c>
      <c r="P563">
        <f>Supermarket_Sales_Case_Study[[#This Row],[Quantity]]*Supermarket_Sales_Case_Study[[#This Row],[Sales_Amount]]</f>
        <v>1158.4507354128241</v>
      </c>
    </row>
    <row r="564" spans="1:16" x14ac:dyDescent="0.3">
      <c r="A564" t="s">
        <v>594</v>
      </c>
      <c r="B564" t="s">
        <v>21</v>
      </c>
      <c r="C564" t="s">
        <v>36</v>
      </c>
      <c r="D564">
        <v>1891</v>
      </c>
      <c r="E564" t="s">
        <v>16</v>
      </c>
      <c r="F564" t="s">
        <v>22</v>
      </c>
      <c r="G564" t="s">
        <v>33</v>
      </c>
      <c r="H564" s="1">
        <v>45378</v>
      </c>
      <c r="I564">
        <v>296.151439435246</v>
      </c>
      <c r="J564">
        <v>5</v>
      </c>
      <c r="K564">
        <v>1480.75719717623</v>
      </c>
      <c r="L564">
        <v>444.22715915286898</v>
      </c>
      <c r="M564" t="s">
        <v>24</v>
      </c>
      <c r="N564">
        <f>Supermarket_Sales_Case_Study[[#This Row],[Sales_Amount]]-Supermarket_Sales_Case_Study[[#This Row],[Profit]]</f>
        <v>1036.5300380233609</v>
      </c>
      <c r="O564" s="2">
        <f>(Supermarket_Sales_Case_Study[[#This Row],[Sales_Amount]]-Supermarket_Sales_Case_Study[[#This Row],[Purchase]])/Supermarket_Sales_Case_Study[[#This Row],[Sales_Amount]]</f>
        <v>0.30000000000000004</v>
      </c>
      <c r="P564">
        <f>Supermarket_Sales_Case_Study[[#This Row],[Quantity]]*Supermarket_Sales_Case_Study[[#This Row],[Sales_Amount]]</f>
        <v>7403.7859858811498</v>
      </c>
    </row>
    <row r="565" spans="1:16" x14ac:dyDescent="0.3">
      <c r="A565" t="s">
        <v>595</v>
      </c>
      <c r="B565" t="s">
        <v>14</v>
      </c>
      <c r="C565" t="s">
        <v>15</v>
      </c>
      <c r="D565">
        <v>1453</v>
      </c>
      <c r="E565" t="s">
        <v>16</v>
      </c>
      <c r="F565" t="s">
        <v>17</v>
      </c>
      <c r="G565" t="s">
        <v>31</v>
      </c>
      <c r="H565" s="1">
        <v>45344</v>
      </c>
      <c r="I565">
        <v>88.696129426312993</v>
      </c>
      <c r="J565">
        <v>1</v>
      </c>
      <c r="K565">
        <v>88.696129426312993</v>
      </c>
      <c r="L565">
        <v>26.608838827893901</v>
      </c>
      <c r="M565" t="s">
        <v>24</v>
      </c>
      <c r="N565">
        <f>Supermarket_Sales_Case_Study[[#This Row],[Sales_Amount]]-Supermarket_Sales_Case_Study[[#This Row],[Profit]]</f>
        <v>62.087290598419088</v>
      </c>
      <c r="O565" s="2">
        <f>(Supermarket_Sales_Case_Study[[#This Row],[Sales_Amount]]-Supermarket_Sales_Case_Study[[#This Row],[Purchase]])/Supermarket_Sales_Case_Study[[#This Row],[Sales_Amount]]</f>
        <v>0.3000000000000001</v>
      </c>
      <c r="P565">
        <f>Supermarket_Sales_Case_Study[[#This Row],[Quantity]]*Supermarket_Sales_Case_Study[[#This Row],[Sales_Amount]]</f>
        <v>88.696129426312993</v>
      </c>
    </row>
    <row r="566" spans="1:16" x14ac:dyDescent="0.3">
      <c r="A566" t="s">
        <v>596</v>
      </c>
      <c r="B566" t="s">
        <v>14</v>
      </c>
      <c r="C566" t="s">
        <v>30</v>
      </c>
      <c r="D566">
        <v>1355</v>
      </c>
      <c r="E566" t="s">
        <v>16</v>
      </c>
      <c r="F566" t="s">
        <v>17</v>
      </c>
      <c r="G566" t="s">
        <v>23</v>
      </c>
      <c r="H566" s="1">
        <v>45375</v>
      </c>
      <c r="I566">
        <v>38.589048836499501</v>
      </c>
      <c r="J566">
        <v>9</v>
      </c>
      <c r="K566">
        <v>347.30143952849602</v>
      </c>
      <c r="L566">
        <v>104.190431858548</v>
      </c>
      <c r="M566" t="s">
        <v>19</v>
      </c>
      <c r="N566">
        <f>Supermarket_Sales_Case_Study[[#This Row],[Sales_Amount]]-Supermarket_Sales_Case_Study[[#This Row],[Profit]]</f>
        <v>243.11100766994804</v>
      </c>
      <c r="O566" s="2">
        <f>(Supermarket_Sales_Case_Study[[#This Row],[Sales_Amount]]-Supermarket_Sales_Case_Study[[#This Row],[Purchase]])/Supermarket_Sales_Case_Study[[#This Row],[Sales_Amount]]</f>
        <v>0.2999999999999976</v>
      </c>
      <c r="P566">
        <f>Supermarket_Sales_Case_Study[[#This Row],[Quantity]]*Supermarket_Sales_Case_Study[[#This Row],[Sales_Amount]]</f>
        <v>3125.712955756464</v>
      </c>
    </row>
    <row r="567" spans="1:16" x14ac:dyDescent="0.3">
      <c r="A567" t="s">
        <v>597</v>
      </c>
      <c r="B567" t="s">
        <v>39</v>
      </c>
      <c r="C567" t="s">
        <v>15</v>
      </c>
      <c r="D567">
        <v>1215</v>
      </c>
      <c r="E567" t="s">
        <v>26</v>
      </c>
      <c r="F567" t="s">
        <v>17</v>
      </c>
      <c r="G567" t="s">
        <v>18</v>
      </c>
      <c r="H567" s="1">
        <v>45370</v>
      </c>
      <c r="I567">
        <v>250.50112789647</v>
      </c>
      <c r="J567">
        <v>2</v>
      </c>
      <c r="K567">
        <v>501.00225579293999</v>
      </c>
      <c r="L567">
        <v>150.30067673788199</v>
      </c>
      <c r="M567" t="s">
        <v>19</v>
      </c>
      <c r="N567">
        <f>Supermarket_Sales_Case_Study[[#This Row],[Sales_Amount]]-Supermarket_Sales_Case_Study[[#This Row],[Profit]]</f>
        <v>350.701579055058</v>
      </c>
      <c r="O567" s="2">
        <f>(Supermarket_Sales_Case_Study[[#This Row],[Sales_Amount]]-Supermarket_Sales_Case_Study[[#This Row],[Purchase]])/Supermarket_Sales_Case_Study[[#This Row],[Sales_Amount]]</f>
        <v>0.3</v>
      </c>
      <c r="P567">
        <f>Supermarket_Sales_Case_Study[[#This Row],[Quantity]]*Supermarket_Sales_Case_Study[[#This Row],[Sales_Amount]]</f>
        <v>1002.00451158588</v>
      </c>
    </row>
    <row r="568" spans="1:16" x14ac:dyDescent="0.3">
      <c r="A568" t="s">
        <v>598</v>
      </c>
      <c r="B568" t="s">
        <v>21</v>
      </c>
      <c r="C568" t="s">
        <v>36</v>
      </c>
      <c r="D568">
        <v>1971</v>
      </c>
      <c r="E568" t="s">
        <v>16</v>
      </c>
      <c r="F568" t="s">
        <v>17</v>
      </c>
      <c r="G568" t="s">
        <v>23</v>
      </c>
      <c r="H568" s="1">
        <v>45314</v>
      </c>
      <c r="I568">
        <v>214.93590476653199</v>
      </c>
      <c r="J568">
        <v>9</v>
      </c>
      <c r="K568">
        <v>1934.42314289879</v>
      </c>
      <c r="L568">
        <v>580.32694286963897</v>
      </c>
      <c r="M568" t="s">
        <v>24</v>
      </c>
      <c r="N568">
        <f>Supermarket_Sales_Case_Study[[#This Row],[Sales_Amount]]-Supermarket_Sales_Case_Study[[#This Row],[Profit]]</f>
        <v>1354.0962000291511</v>
      </c>
      <c r="O568" s="2">
        <f>(Supermarket_Sales_Case_Study[[#This Row],[Sales_Amount]]-Supermarket_Sales_Case_Study[[#This Row],[Purchase]])/Supermarket_Sales_Case_Study[[#This Row],[Sales_Amount]]</f>
        <v>0.30000000000000099</v>
      </c>
      <c r="P568">
        <f>Supermarket_Sales_Case_Study[[#This Row],[Quantity]]*Supermarket_Sales_Case_Study[[#This Row],[Sales_Amount]]</f>
        <v>17409.808286089112</v>
      </c>
    </row>
    <row r="569" spans="1:16" x14ac:dyDescent="0.3">
      <c r="A569" t="s">
        <v>599</v>
      </c>
      <c r="B569" t="s">
        <v>21</v>
      </c>
      <c r="C569" t="s">
        <v>15</v>
      </c>
      <c r="D569">
        <v>1554</v>
      </c>
      <c r="E569" t="s">
        <v>26</v>
      </c>
      <c r="F569" t="s">
        <v>22</v>
      </c>
      <c r="G569" t="s">
        <v>18</v>
      </c>
      <c r="H569" s="1">
        <v>45319</v>
      </c>
      <c r="I569">
        <v>188.99345370459099</v>
      </c>
      <c r="J569">
        <v>2</v>
      </c>
      <c r="K569">
        <v>377.98690740918198</v>
      </c>
      <c r="L569">
        <v>113.396072222754</v>
      </c>
      <c r="M569" t="s">
        <v>34</v>
      </c>
      <c r="N569">
        <f>Supermarket_Sales_Case_Study[[#This Row],[Sales_Amount]]-Supermarket_Sales_Case_Study[[#This Row],[Profit]]</f>
        <v>264.59083518642797</v>
      </c>
      <c r="O569" s="2">
        <f>(Supermarket_Sales_Case_Study[[#This Row],[Sales_Amount]]-Supermarket_Sales_Case_Study[[#This Row],[Purchase]])/Supermarket_Sales_Case_Study[[#This Row],[Sales_Amount]]</f>
        <v>0.29999999999999849</v>
      </c>
      <c r="P569">
        <f>Supermarket_Sales_Case_Study[[#This Row],[Quantity]]*Supermarket_Sales_Case_Study[[#This Row],[Sales_Amount]]</f>
        <v>755.97381481836396</v>
      </c>
    </row>
    <row r="570" spans="1:16" x14ac:dyDescent="0.3">
      <c r="A570" t="s">
        <v>600</v>
      </c>
      <c r="B570" t="s">
        <v>14</v>
      </c>
      <c r="C570" t="s">
        <v>15</v>
      </c>
      <c r="D570">
        <v>1886</v>
      </c>
      <c r="E570" t="s">
        <v>16</v>
      </c>
      <c r="F570" t="s">
        <v>17</v>
      </c>
      <c r="G570" t="s">
        <v>37</v>
      </c>
      <c r="H570" s="1">
        <v>45307</v>
      </c>
      <c r="I570">
        <v>55.234450472690597</v>
      </c>
      <c r="J570">
        <v>9</v>
      </c>
      <c r="K570">
        <v>497.11005425421502</v>
      </c>
      <c r="L570">
        <v>149.13301627626399</v>
      </c>
      <c r="M570" t="s">
        <v>24</v>
      </c>
      <c r="N570">
        <f>Supermarket_Sales_Case_Study[[#This Row],[Sales_Amount]]-Supermarket_Sales_Case_Study[[#This Row],[Profit]]</f>
        <v>347.977037977951</v>
      </c>
      <c r="O570" s="2">
        <f>(Supermarket_Sales_Case_Study[[#This Row],[Sales_Amount]]-Supermarket_Sales_Case_Study[[#This Row],[Purchase]])/Supermarket_Sales_Case_Study[[#This Row],[Sales_Amount]]</f>
        <v>0.29999999999999899</v>
      </c>
      <c r="P570">
        <f>Supermarket_Sales_Case_Study[[#This Row],[Quantity]]*Supermarket_Sales_Case_Study[[#This Row],[Sales_Amount]]</f>
        <v>4473.9904882879355</v>
      </c>
    </row>
    <row r="571" spans="1:16" x14ac:dyDescent="0.3">
      <c r="A571" t="s">
        <v>601</v>
      </c>
      <c r="B571" t="s">
        <v>21</v>
      </c>
      <c r="C571" t="s">
        <v>15</v>
      </c>
      <c r="D571">
        <v>1022</v>
      </c>
      <c r="E571" t="s">
        <v>26</v>
      </c>
      <c r="F571" t="s">
        <v>22</v>
      </c>
      <c r="G571" t="s">
        <v>31</v>
      </c>
      <c r="H571" s="1">
        <v>45328</v>
      </c>
      <c r="I571">
        <v>148.763873714228</v>
      </c>
      <c r="J571">
        <v>6</v>
      </c>
      <c r="K571">
        <v>892.58324228537299</v>
      </c>
      <c r="L571">
        <v>267.774972685612</v>
      </c>
      <c r="M571" t="s">
        <v>24</v>
      </c>
      <c r="N571">
        <f>Supermarket_Sales_Case_Study[[#This Row],[Sales_Amount]]-Supermarket_Sales_Case_Study[[#This Row],[Profit]]</f>
        <v>624.80826959976093</v>
      </c>
      <c r="O571" s="2">
        <f>(Supermarket_Sales_Case_Study[[#This Row],[Sales_Amount]]-Supermarket_Sales_Case_Study[[#This Row],[Purchase]])/Supermarket_Sales_Case_Study[[#This Row],[Sales_Amount]]</f>
        <v>0.30000000000000016</v>
      </c>
      <c r="P571">
        <f>Supermarket_Sales_Case_Study[[#This Row],[Quantity]]*Supermarket_Sales_Case_Study[[#This Row],[Sales_Amount]]</f>
        <v>5355.4994537122384</v>
      </c>
    </row>
    <row r="572" spans="1:16" x14ac:dyDescent="0.3">
      <c r="A572" t="s">
        <v>602</v>
      </c>
      <c r="B572" t="s">
        <v>14</v>
      </c>
      <c r="C572" t="s">
        <v>15</v>
      </c>
      <c r="D572">
        <v>1154</v>
      </c>
      <c r="E572" t="s">
        <v>16</v>
      </c>
      <c r="F572" t="s">
        <v>22</v>
      </c>
      <c r="G572" t="s">
        <v>23</v>
      </c>
      <c r="H572" s="1">
        <v>45312</v>
      </c>
      <c r="I572">
        <v>236.36124779729201</v>
      </c>
      <c r="J572">
        <v>9</v>
      </c>
      <c r="K572">
        <v>2127.2512301756201</v>
      </c>
      <c r="L572">
        <v>638.17536905268798</v>
      </c>
      <c r="M572" t="s">
        <v>34</v>
      </c>
      <c r="N572">
        <f>Supermarket_Sales_Case_Study[[#This Row],[Sales_Amount]]-Supermarket_Sales_Case_Study[[#This Row],[Profit]]</f>
        <v>1489.0758611229321</v>
      </c>
      <c r="O572" s="2">
        <f>(Supermarket_Sales_Case_Study[[#This Row],[Sales_Amount]]-Supermarket_Sales_Case_Study[[#This Row],[Purchase]])/Supermarket_Sales_Case_Study[[#This Row],[Sales_Amount]]</f>
        <v>0.30000000000000093</v>
      </c>
      <c r="P572">
        <f>Supermarket_Sales_Case_Study[[#This Row],[Quantity]]*Supermarket_Sales_Case_Study[[#This Row],[Sales_Amount]]</f>
        <v>19145.261071580582</v>
      </c>
    </row>
    <row r="573" spans="1:16" x14ac:dyDescent="0.3">
      <c r="A573" t="s">
        <v>603</v>
      </c>
      <c r="B573" t="s">
        <v>21</v>
      </c>
      <c r="C573" t="s">
        <v>30</v>
      </c>
      <c r="D573">
        <v>2209</v>
      </c>
      <c r="E573" t="s">
        <v>16</v>
      </c>
      <c r="F573" t="s">
        <v>17</v>
      </c>
      <c r="G573" t="s">
        <v>23</v>
      </c>
      <c r="H573" s="1">
        <v>45370</v>
      </c>
      <c r="I573">
        <v>98.050942061713599</v>
      </c>
      <c r="J573">
        <v>6</v>
      </c>
      <c r="K573">
        <v>588.30565237028202</v>
      </c>
      <c r="L573">
        <v>176.49169571108399</v>
      </c>
      <c r="M573" t="s">
        <v>24</v>
      </c>
      <c r="N573">
        <f>Supermarket_Sales_Case_Study[[#This Row],[Sales_Amount]]-Supermarket_Sales_Case_Study[[#This Row],[Profit]]</f>
        <v>411.81395665919803</v>
      </c>
      <c r="O573" s="2">
        <f>(Supermarket_Sales_Case_Study[[#This Row],[Sales_Amount]]-Supermarket_Sales_Case_Study[[#This Row],[Purchase]])/Supermarket_Sales_Case_Study[[#This Row],[Sales_Amount]]</f>
        <v>0.29999999999999893</v>
      </c>
      <c r="P573">
        <f>Supermarket_Sales_Case_Study[[#This Row],[Quantity]]*Supermarket_Sales_Case_Study[[#This Row],[Sales_Amount]]</f>
        <v>3529.8339142216919</v>
      </c>
    </row>
    <row r="574" spans="1:16" x14ac:dyDescent="0.3">
      <c r="A574" t="s">
        <v>604</v>
      </c>
      <c r="B574" t="s">
        <v>14</v>
      </c>
      <c r="C574" t="s">
        <v>30</v>
      </c>
      <c r="D574">
        <v>1248</v>
      </c>
      <c r="E574" t="s">
        <v>16</v>
      </c>
      <c r="F574" t="s">
        <v>22</v>
      </c>
      <c r="G574" t="s">
        <v>31</v>
      </c>
      <c r="H574" s="1">
        <v>45308</v>
      </c>
      <c r="I574">
        <v>100.39005026936201</v>
      </c>
      <c r="J574">
        <v>6</v>
      </c>
      <c r="K574">
        <v>602.34030161617204</v>
      </c>
      <c r="L574">
        <v>180.702090484851</v>
      </c>
      <c r="M574" t="s">
        <v>24</v>
      </c>
      <c r="N574">
        <f>Supermarket_Sales_Case_Study[[#This Row],[Sales_Amount]]-Supermarket_Sales_Case_Study[[#This Row],[Profit]]</f>
        <v>421.63821113132104</v>
      </c>
      <c r="O574" s="2">
        <f>(Supermarket_Sales_Case_Study[[#This Row],[Sales_Amount]]-Supermarket_Sales_Case_Study[[#This Row],[Purchase]])/Supermarket_Sales_Case_Study[[#This Row],[Sales_Amount]]</f>
        <v>0.29999999999999899</v>
      </c>
      <c r="P574">
        <f>Supermarket_Sales_Case_Study[[#This Row],[Quantity]]*Supermarket_Sales_Case_Study[[#This Row],[Sales_Amount]]</f>
        <v>3614.0418096970325</v>
      </c>
    </row>
    <row r="575" spans="1:16" x14ac:dyDescent="0.3">
      <c r="A575" t="s">
        <v>605</v>
      </c>
      <c r="B575" t="s">
        <v>21</v>
      </c>
      <c r="C575" t="s">
        <v>36</v>
      </c>
      <c r="D575">
        <v>1748</v>
      </c>
      <c r="E575" t="s">
        <v>16</v>
      </c>
      <c r="F575" t="s">
        <v>17</v>
      </c>
      <c r="G575" t="s">
        <v>23</v>
      </c>
      <c r="H575" s="1">
        <v>45328</v>
      </c>
      <c r="I575">
        <v>10.910862753955399</v>
      </c>
      <c r="J575">
        <v>2</v>
      </c>
      <c r="K575">
        <v>21.821725507910799</v>
      </c>
      <c r="L575">
        <v>6.5465176523732396</v>
      </c>
      <c r="M575" t="s">
        <v>19</v>
      </c>
      <c r="N575">
        <f>Supermarket_Sales_Case_Study[[#This Row],[Sales_Amount]]-Supermarket_Sales_Case_Study[[#This Row],[Profit]]</f>
        <v>15.275207855537559</v>
      </c>
      <c r="O575" s="2">
        <f>(Supermarket_Sales_Case_Study[[#This Row],[Sales_Amount]]-Supermarket_Sales_Case_Study[[#This Row],[Purchase]])/Supermarket_Sales_Case_Study[[#This Row],[Sales_Amount]]</f>
        <v>0.3</v>
      </c>
      <c r="P575">
        <f>Supermarket_Sales_Case_Study[[#This Row],[Quantity]]*Supermarket_Sales_Case_Study[[#This Row],[Sales_Amount]]</f>
        <v>43.643451015821597</v>
      </c>
    </row>
    <row r="576" spans="1:16" x14ac:dyDescent="0.3">
      <c r="A576" t="s">
        <v>606</v>
      </c>
      <c r="B576" t="s">
        <v>39</v>
      </c>
      <c r="C576" t="s">
        <v>30</v>
      </c>
      <c r="D576">
        <v>1804</v>
      </c>
      <c r="E576" t="s">
        <v>26</v>
      </c>
      <c r="F576" t="s">
        <v>17</v>
      </c>
      <c r="G576" t="s">
        <v>18</v>
      </c>
      <c r="H576" s="1">
        <v>45368</v>
      </c>
      <c r="I576">
        <v>60.53058647716</v>
      </c>
      <c r="J576">
        <v>8</v>
      </c>
      <c r="K576">
        <v>484.24469181728</v>
      </c>
      <c r="L576">
        <v>145.273407545184</v>
      </c>
      <c r="M576" t="s">
        <v>34</v>
      </c>
      <c r="N576">
        <f>Supermarket_Sales_Case_Study[[#This Row],[Sales_Amount]]-Supermarket_Sales_Case_Study[[#This Row],[Profit]]</f>
        <v>338.971284272096</v>
      </c>
      <c r="O576" s="2">
        <f>(Supermarket_Sales_Case_Study[[#This Row],[Sales_Amount]]-Supermarket_Sales_Case_Study[[#This Row],[Purchase]])/Supermarket_Sales_Case_Study[[#This Row],[Sales_Amount]]</f>
        <v>0.3</v>
      </c>
      <c r="P576">
        <f>Supermarket_Sales_Case_Study[[#This Row],[Quantity]]*Supermarket_Sales_Case_Study[[#This Row],[Sales_Amount]]</f>
        <v>3873.95753453824</v>
      </c>
    </row>
    <row r="577" spans="1:16" x14ac:dyDescent="0.3">
      <c r="A577" t="s">
        <v>607</v>
      </c>
      <c r="B577" t="s">
        <v>21</v>
      </c>
      <c r="C577" t="s">
        <v>30</v>
      </c>
      <c r="D577">
        <v>1133</v>
      </c>
      <c r="E577" t="s">
        <v>16</v>
      </c>
      <c r="F577" t="s">
        <v>22</v>
      </c>
      <c r="G577" t="s">
        <v>23</v>
      </c>
      <c r="H577" s="1">
        <v>45310</v>
      </c>
      <c r="I577">
        <v>263.86763128533198</v>
      </c>
      <c r="J577">
        <v>3</v>
      </c>
      <c r="K577">
        <v>791.60289385599594</v>
      </c>
      <c r="L577">
        <v>237.48086815679801</v>
      </c>
      <c r="M577" t="s">
        <v>19</v>
      </c>
      <c r="N577">
        <f>Supermarket_Sales_Case_Study[[#This Row],[Sales_Amount]]-Supermarket_Sales_Case_Study[[#This Row],[Profit]]</f>
        <v>554.12202569919793</v>
      </c>
      <c r="O577" s="2">
        <f>(Supermarket_Sales_Case_Study[[#This Row],[Sales_Amount]]-Supermarket_Sales_Case_Study[[#This Row],[Purchase]])/Supermarket_Sales_Case_Study[[#This Row],[Sales_Amount]]</f>
        <v>0.29999999999999905</v>
      </c>
      <c r="P577">
        <f>Supermarket_Sales_Case_Study[[#This Row],[Quantity]]*Supermarket_Sales_Case_Study[[#This Row],[Sales_Amount]]</f>
        <v>2374.8086815679881</v>
      </c>
    </row>
    <row r="578" spans="1:16" x14ac:dyDescent="0.3">
      <c r="A578" t="s">
        <v>608</v>
      </c>
      <c r="B578" t="s">
        <v>21</v>
      </c>
      <c r="C578" t="s">
        <v>36</v>
      </c>
      <c r="D578">
        <v>1320</v>
      </c>
      <c r="E578" t="s">
        <v>16</v>
      </c>
      <c r="F578" t="s">
        <v>22</v>
      </c>
      <c r="G578" t="s">
        <v>33</v>
      </c>
      <c r="H578" s="1">
        <v>45321</v>
      </c>
      <c r="I578">
        <v>138.106482574935</v>
      </c>
      <c r="J578">
        <v>7</v>
      </c>
      <c r="K578">
        <v>966.74537802454495</v>
      </c>
      <c r="L578">
        <v>290.02361340736297</v>
      </c>
      <c r="M578" t="s">
        <v>19</v>
      </c>
      <c r="N578">
        <f>Supermarket_Sales_Case_Study[[#This Row],[Sales_Amount]]-Supermarket_Sales_Case_Study[[#This Row],[Profit]]</f>
        <v>676.72176461718198</v>
      </c>
      <c r="O578" s="2">
        <f>(Supermarket_Sales_Case_Study[[#This Row],[Sales_Amount]]-Supermarket_Sales_Case_Study[[#This Row],[Purchase]])/Supermarket_Sales_Case_Study[[#This Row],[Sales_Amount]]</f>
        <v>0.29999999999999949</v>
      </c>
      <c r="P578">
        <f>Supermarket_Sales_Case_Study[[#This Row],[Quantity]]*Supermarket_Sales_Case_Study[[#This Row],[Sales_Amount]]</f>
        <v>6767.2176461718145</v>
      </c>
    </row>
    <row r="579" spans="1:16" x14ac:dyDescent="0.3">
      <c r="A579" t="s">
        <v>609</v>
      </c>
      <c r="B579" t="s">
        <v>39</v>
      </c>
      <c r="C579" t="s">
        <v>30</v>
      </c>
      <c r="D579">
        <v>1389</v>
      </c>
      <c r="E579" t="s">
        <v>26</v>
      </c>
      <c r="F579" t="s">
        <v>17</v>
      </c>
      <c r="G579" t="s">
        <v>37</v>
      </c>
      <c r="H579" s="1">
        <v>45336</v>
      </c>
      <c r="I579">
        <v>295.428004777985</v>
      </c>
      <c r="J579">
        <v>5</v>
      </c>
      <c r="K579">
        <v>1477.14002388992</v>
      </c>
      <c r="L579">
        <v>443.14200716697798</v>
      </c>
      <c r="M579" t="s">
        <v>34</v>
      </c>
      <c r="N579">
        <f>Supermarket_Sales_Case_Study[[#This Row],[Sales_Amount]]-Supermarket_Sales_Case_Study[[#This Row],[Profit]]</f>
        <v>1033.9980167229421</v>
      </c>
      <c r="O579" s="2">
        <f>(Supermarket_Sales_Case_Study[[#This Row],[Sales_Amount]]-Supermarket_Sales_Case_Study[[#This Row],[Purchase]])/Supermarket_Sales_Case_Study[[#This Row],[Sales_Amount]]</f>
        <v>0.30000000000000127</v>
      </c>
      <c r="P579">
        <f>Supermarket_Sales_Case_Study[[#This Row],[Quantity]]*Supermarket_Sales_Case_Study[[#This Row],[Sales_Amount]]</f>
        <v>7385.7001194496006</v>
      </c>
    </row>
    <row r="580" spans="1:16" x14ac:dyDescent="0.3">
      <c r="A580" t="s">
        <v>610</v>
      </c>
      <c r="B580" t="s">
        <v>21</v>
      </c>
      <c r="C580" t="s">
        <v>30</v>
      </c>
      <c r="D580">
        <v>1433</v>
      </c>
      <c r="E580" t="s">
        <v>16</v>
      </c>
      <c r="F580" t="s">
        <v>22</v>
      </c>
      <c r="G580" t="s">
        <v>28</v>
      </c>
      <c r="H580" s="1">
        <v>45309</v>
      </c>
      <c r="I580">
        <v>124.755309436399</v>
      </c>
      <c r="J580">
        <v>3</v>
      </c>
      <c r="K580">
        <v>374.26592830919901</v>
      </c>
      <c r="L580">
        <v>112.27977849275899</v>
      </c>
      <c r="M580" t="s">
        <v>34</v>
      </c>
      <c r="N580">
        <f>Supermarket_Sales_Case_Study[[#This Row],[Sales_Amount]]-Supermarket_Sales_Case_Study[[#This Row],[Profit]]</f>
        <v>261.98614981644005</v>
      </c>
      <c r="O580" s="2">
        <f>(Supermarket_Sales_Case_Study[[#This Row],[Sales_Amount]]-Supermarket_Sales_Case_Study[[#This Row],[Purchase]])/Supermarket_Sales_Case_Study[[#This Row],[Sales_Amount]]</f>
        <v>0.29999999999999805</v>
      </c>
      <c r="P580">
        <f>Supermarket_Sales_Case_Study[[#This Row],[Quantity]]*Supermarket_Sales_Case_Study[[#This Row],[Sales_Amount]]</f>
        <v>1122.7977849275971</v>
      </c>
    </row>
    <row r="581" spans="1:16" x14ac:dyDescent="0.3">
      <c r="A581" t="s">
        <v>611</v>
      </c>
      <c r="B581" t="s">
        <v>39</v>
      </c>
      <c r="C581" t="s">
        <v>36</v>
      </c>
      <c r="D581">
        <v>2045</v>
      </c>
      <c r="E581" t="s">
        <v>26</v>
      </c>
      <c r="F581" t="s">
        <v>22</v>
      </c>
      <c r="G581" t="s">
        <v>18</v>
      </c>
      <c r="H581" s="1">
        <v>45369</v>
      </c>
      <c r="I581">
        <v>217.40407188626901</v>
      </c>
      <c r="J581">
        <v>1</v>
      </c>
      <c r="K581">
        <v>217.40407188626901</v>
      </c>
      <c r="L581">
        <v>65.221221565880896</v>
      </c>
      <c r="M581" t="s">
        <v>24</v>
      </c>
      <c r="N581">
        <f>Supermarket_Sales_Case_Study[[#This Row],[Sales_Amount]]-Supermarket_Sales_Case_Study[[#This Row],[Profit]]</f>
        <v>152.18285032038813</v>
      </c>
      <c r="O581" s="2">
        <f>(Supermarket_Sales_Case_Study[[#This Row],[Sales_Amount]]-Supermarket_Sales_Case_Study[[#This Row],[Purchase]])/Supermarket_Sales_Case_Study[[#This Row],[Sales_Amount]]</f>
        <v>0.30000000000000082</v>
      </c>
      <c r="P581">
        <f>Supermarket_Sales_Case_Study[[#This Row],[Quantity]]*Supermarket_Sales_Case_Study[[#This Row],[Sales_Amount]]</f>
        <v>217.40407188626901</v>
      </c>
    </row>
    <row r="582" spans="1:16" x14ac:dyDescent="0.3">
      <c r="A582" t="s">
        <v>612</v>
      </c>
      <c r="B582" t="s">
        <v>21</v>
      </c>
      <c r="C582" t="s">
        <v>36</v>
      </c>
      <c r="D582">
        <v>1872</v>
      </c>
      <c r="E582" t="s">
        <v>16</v>
      </c>
      <c r="F582" t="s">
        <v>22</v>
      </c>
      <c r="G582" t="s">
        <v>33</v>
      </c>
      <c r="H582" s="1">
        <v>45353</v>
      </c>
      <c r="I582">
        <v>91.756522442371406</v>
      </c>
      <c r="J582">
        <v>8</v>
      </c>
      <c r="K582">
        <v>734.05217953897102</v>
      </c>
      <c r="L582">
        <v>220.21565386169101</v>
      </c>
      <c r="M582" t="s">
        <v>19</v>
      </c>
      <c r="N582">
        <f>Supermarket_Sales_Case_Study[[#This Row],[Sales_Amount]]-Supermarket_Sales_Case_Study[[#This Row],[Profit]]</f>
        <v>513.83652567727995</v>
      </c>
      <c r="O582" s="2">
        <f>(Supermarket_Sales_Case_Study[[#This Row],[Sales_Amount]]-Supermarket_Sales_Case_Study[[#This Row],[Purchase]])/Supermarket_Sales_Case_Study[[#This Row],[Sales_Amount]]</f>
        <v>0.29999999999999966</v>
      </c>
      <c r="P582">
        <f>Supermarket_Sales_Case_Study[[#This Row],[Quantity]]*Supermarket_Sales_Case_Study[[#This Row],[Sales_Amount]]</f>
        <v>5872.4174363117681</v>
      </c>
    </row>
    <row r="583" spans="1:16" x14ac:dyDescent="0.3">
      <c r="A583" t="s">
        <v>613</v>
      </c>
      <c r="B583" t="s">
        <v>14</v>
      </c>
      <c r="C583" t="s">
        <v>36</v>
      </c>
      <c r="D583">
        <v>2148</v>
      </c>
      <c r="E583" t="s">
        <v>16</v>
      </c>
      <c r="F583" t="s">
        <v>17</v>
      </c>
      <c r="G583" t="s">
        <v>37</v>
      </c>
      <c r="H583" s="1">
        <v>45327</v>
      </c>
      <c r="I583">
        <v>115.50479593087</v>
      </c>
      <c r="J583">
        <v>3</v>
      </c>
      <c r="K583">
        <v>346.51438779261201</v>
      </c>
      <c r="L583">
        <v>103.954316337783</v>
      </c>
      <c r="M583" t="s">
        <v>34</v>
      </c>
      <c r="N583">
        <f>Supermarket_Sales_Case_Study[[#This Row],[Sales_Amount]]-Supermarket_Sales_Case_Study[[#This Row],[Profit]]</f>
        <v>242.56007145482903</v>
      </c>
      <c r="O583" s="2">
        <f>(Supermarket_Sales_Case_Study[[#This Row],[Sales_Amount]]-Supermarket_Sales_Case_Study[[#This Row],[Purchase]])/Supermarket_Sales_Case_Study[[#This Row],[Sales_Amount]]</f>
        <v>0.29999999999999821</v>
      </c>
      <c r="P583">
        <f>Supermarket_Sales_Case_Study[[#This Row],[Quantity]]*Supermarket_Sales_Case_Study[[#This Row],[Sales_Amount]]</f>
        <v>1039.543163377836</v>
      </c>
    </row>
    <row r="584" spans="1:16" x14ac:dyDescent="0.3">
      <c r="A584" t="s">
        <v>614</v>
      </c>
      <c r="B584" t="s">
        <v>14</v>
      </c>
      <c r="C584" t="s">
        <v>15</v>
      </c>
      <c r="D584">
        <v>2102</v>
      </c>
      <c r="E584" t="s">
        <v>16</v>
      </c>
      <c r="F584" t="s">
        <v>17</v>
      </c>
      <c r="G584" t="s">
        <v>31</v>
      </c>
      <c r="H584" s="1">
        <v>45375</v>
      </c>
      <c r="I584">
        <v>65.3105364013594</v>
      </c>
      <c r="J584">
        <v>2</v>
      </c>
      <c r="K584">
        <v>130.621072802718</v>
      </c>
      <c r="L584">
        <v>39.186321840815602</v>
      </c>
      <c r="M584" t="s">
        <v>19</v>
      </c>
      <c r="N584">
        <f>Supermarket_Sales_Case_Study[[#This Row],[Sales_Amount]]-Supermarket_Sales_Case_Study[[#This Row],[Profit]]</f>
        <v>91.434750961902409</v>
      </c>
      <c r="O584" s="2">
        <f>(Supermarket_Sales_Case_Study[[#This Row],[Sales_Amount]]-Supermarket_Sales_Case_Study[[#This Row],[Purchase]])/Supermarket_Sales_Case_Study[[#This Row],[Sales_Amount]]</f>
        <v>0.30000000000000149</v>
      </c>
      <c r="P584">
        <f>Supermarket_Sales_Case_Study[[#This Row],[Quantity]]*Supermarket_Sales_Case_Study[[#This Row],[Sales_Amount]]</f>
        <v>261.24214560543601</v>
      </c>
    </row>
    <row r="585" spans="1:16" x14ac:dyDescent="0.3">
      <c r="A585" t="s">
        <v>615</v>
      </c>
      <c r="B585" t="s">
        <v>21</v>
      </c>
      <c r="C585" t="s">
        <v>15</v>
      </c>
      <c r="D585">
        <v>1857</v>
      </c>
      <c r="E585" t="s">
        <v>26</v>
      </c>
      <c r="F585" t="s">
        <v>22</v>
      </c>
      <c r="G585" t="s">
        <v>18</v>
      </c>
      <c r="H585" s="1">
        <v>45343</v>
      </c>
      <c r="I585">
        <v>110.64808686482399</v>
      </c>
      <c r="J585">
        <v>1</v>
      </c>
      <c r="K585">
        <v>110.64808686482399</v>
      </c>
      <c r="L585">
        <v>33.194426059447302</v>
      </c>
      <c r="M585" t="s">
        <v>19</v>
      </c>
      <c r="N585">
        <f>Supermarket_Sales_Case_Study[[#This Row],[Sales_Amount]]-Supermarket_Sales_Case_Study[[#This Row],[Profit]]</f>
        <v>77.4536608053767</v>
      </c>
      <c r="O585" s="2">
        <f>(Supermarket_Sales_Case_Study[[#This Row],[Sales_Amount]]-Supermarket_Sales_Case_Study[[#This Row],[Purchase]])/Supermarket_Sales_Case_Study[[#This Row],[Sales_Amount]]</f>
        <v>0.30000000000000088</v>
      </c>
      <c r="P585">
        <f>Supermarket_Sales_Case_Study[[#This Row],[Quantity]]*Supermarket_Sales_Case_Study[[#This Row],[Sales_Amount]]</f>
        <v>110.64808686482399</v>
      </c>
    </row>
    <row r="586" spans="1:16" x14ac:dyDescent="0.3">
      <c r="A586" t="s">
        <v>616</v>
      </c>
      <c r="B586" t="s">
        <v>21</v>
      </c>
      <c r="C586" t="s">
        <v>36</v>
      </c>
      <c r="D586">
        <v>1050</v>
      </c>
      <c r="E586" t="s">
        <v>16</v>
      </c>
      <c r="F586" t="s">
        <v>22</v>
      </c>
      <c r="G586" t="s">
        <v>28</v>
      </c>
      <c r="H586" s="1">
        <v>45310</v>
      </c>
      <c r="I586">
        <v>168.69888092198599</v>
      </c>
      <c r="J586">
        <v>4</v>
      </c>
      <c r="K586">
        <v>674.795523687946</v>
      </c>
      <c r="L586">
        <v>202.438657106383</v>
      </c>
      <c r="M586" t="s">
        <v>34</v>
      </c>
      <c r="N586">
        <f>Supermarket_Sales_Case_Study[[#This Row],[Sales_Amount]]-Supermarket_Sales_Case_Study[[#This Row],[Profit]]</f>
        <v>472.356866581563</v>
      </c>
      <c r="O586" s="2">
        <f>(Supermarket_Sales_Case_Study[[#This Row],[Sales_Amount]]-Supermarket_Sales_Case_Study[[#This Row],[Purchase]])/Supermarket_Sales_Case_Study[[#This Row],[Sales_Amount]]</f>
        <v>0.29999999999999882</v>
      </c>
      <c r="P586">
        <f>Supermarket_Sales_Case_Study[[#This Row],[Quantity]]*Supermarket_Sales_Case_Study[[#This Row],[Sales_Amount]]</f>
        <v>2699.182094751784</v>
      </c>
    </row>
    <row r="587" spans="1:16" x14ac:dyDescent="0.3">
      <c r="A587" t="s">
        <v>617</v>
      </c>
      <c r="B587" t="s">
        <v>21</v>
      </c>
      <c r="C587" t="s">
        <v>36</v>
      </c>
      <c r="D587">
        <v>1175</v>
      </c>
      <c r="E587" t="s">
        <v>16</v>
      </c>
      <c r="F587" t="s">
        <v>22</v>
      </c>
      <c r="G587" t="s">
        <v>37</v>
      </c>
      <c r="H587" s="1">
        <v>45335</v>
      </c>
      <c r="I587">
        <v>297.61413548398201</v>
      </c>
      <c r="J587">
        <v>8</v>
      </c>
      <c r="K587">
        <v>2380.9130838718502</v>
      </c>
      <c r="L587">
        <v>714.27392516155703</v>
      </c>
      <c r="M587" t="s">
        <v>24</v>
      </c>
      <c r="N587">
        <f>Supermarket_Sales_Case_Study[[#This Row],[Sales_Amount]]-Supermarket_Sales_Case_Study[[#This Row],[Profit]]</f>
        <v>1666.639158710293</v>
      </c>
      <c r="O587" s="2">
        <f>(Supermarket_Sales_Case_Study[[#This Row],[Sales_Amount]]-Supermarket_Sales_Case_Study[[#This Row],[Purchase]])/Supermarket_Sales_Case_Study[[#This Row],[Sales_Amount]]</f>
        <v>0.30000000000000088</v>
      </c>
      <c r="P587">
        <f>Supermarket_Sales_Case_Study[[#This Row],[Quantity]]*Supermarket_Sales_Case_Study[[#This Row],[Sales_Amount]]</f>
        <v>19047.304670974801</v>
      </c>
    </row>
    <row r="588" spans="1:16" x14ac:dyDescent="0.3">
      <c r="A588" t="s">
        <v>618</v>
      </c>
      <c r="B588" t="s">
        <v>14</v>
      </c>
      <c r="C588" t="s">
        <v>36</v>
      </c>
      <c r="D588">
        <v>1869</v>
      </c>
      <c r="E588" t="s">
        <v>16</v>
      </c>
      <c r="F588" t="s">
        <v>22</v>
      </c>
      <c r="G588" t="s">
        <v>28</v>
      </c>
      <c r="H588" s="1">
        <v>45298</v>
      </c>
      <c r="I588">
        <v>202.61849679081701</v>
      </c>
      <c r="J588">
        <v>3</v>
      </c>
      <c r="K588">
        <v>607.855490372453</v>
      </c>
      <c r="L588">
        <v>182.35664711173601</v>
      </c>
      <c r="M588" t="s">
        <v>19</v>
      </c>
      <c r="N588">
        <f>Supermarket_Sales_Case_Study[[#This Row],[Sales_Amount]]-Supermarket_Sales_Case_Study[[#This Row],[Profit]]</f>
        <v>425.49884326071697</v>
      </c>
      <c r="O588" s="2">
        <f>(Supermarket_Sales_Case_Study[[#This Row],[Sales_Amount]]-Supermarket_Sales_Case_Study[[#This Row],[Purchase]])/Supermarket_Sales_Case_Study[[#This Row],[Sales_Amount]]</f>
        <v>0.30000000000000021</v>
      </c>
      <c r="P588">
        <f>Supermarket_Sales_Case_Study[[#This Row],[Quantity]]*Supermarket_Sales_Case_Study[[#This Row],[Sales_Amount]]</f>
        <v>1823.566471117359</v>
      </c>
    </row>
    <row r="589" spans="1:16" x14ac:dyDescent="0.3">
      <c r="A589" t="s">
        <v>619</v>
      </c>
      <c r="B589" t="s">
        <v>21</v>
      </c>
      <c r="C589" t="s">
        <v>15</v>
      </c>
      <c r="D589">
        <v>1252</v>
      </c>
      <c r="E589" t="s">
        <v>26</v>
      </c>
      <c r="F589" t="s">
        <v>22</v>
      </c>
      <c r="G589" t="s">
        <v>31</v>
      </c>
      <c r="H589" s="1">
        <v>45335</v>
      </c>
      <c r="I589">
        <v>67.781326778411</v>
      </c>
      <c r="J589">
        <v>1</v>
      </c>
      <c r="K589">
        <v>67.781326778411</v>
      </c>
      <c r="L589">
        <v>20.3343980335233</v>
      </c>
      <c r="M589" t="s">
        <v>34</v>
      </c>
      <c r="N589">
        <f>Supermarket_Sales_Case_Study[[#This Row],[Sales_Amount]]-Supermarket_Sales_Case_Study[[#This Row],[Profit]]</f>
        <v>47.4469287448877</v>
      </c>
      <c r="O589" s="2">
        <f>(Supermarket_Sales_Case_Study[[#This Row],[Sales_Amount]]-Supermarket_Sales_Case_Study[[#This Row],[Purchase]])/Supermarket_Sales_Case_Study[[#This Row],[Sales_Amount]]</f>
        <v>0.3</v>
      </c>
      <c r="P589">
        <f>Supermarket_Sales_Case_Study[[#This Row],[Quantity]]*Supermarket_Sales_Case_Study[[#This Row],[Sales_Amount]]</f>
        <v>67.781326778411</v>
      </c>
    </row>
    <row r="590" spans="1:16" x14ac:dyDescent="0.3">
      <c r="A590" t="s">
        <v>620</v>
      </c>
      <c r="B590" t="s">
        <v>14</v>
      </c>
      <c r="C590" t="s">
        <v>15</v>
      </c>
      <c r="D590">
        <v>1965</v>
      </c>
      <c r="E590" t="s">
        <v>26</v>
      </c>
      <c r="F590" t="s">
        <v>17</v>
      </c>
      <c r="G590" t="s">
        <v>31</v>
      </c>
      <c r="H590" s="1">
        <v>45359</v>
      </c>
      <c r="I590">
        <v>23.038818061549801</v>
      </c>
      <c r="J590">
        <v>4</v>
      </c>
      <c r="K590">
        <v>92.155272246199303</v>
      </c>
      <c r="L590">
        <v>27.6465816738597</v>
      </c>
      <c r="M590" t="s">
        <v>24</v>
      </c>
      <c r="N590">
        <f>Supermarket_Sales_Case_Study[[#This Row],[Sales_Amount]]-Supermarket_Sales_Case_Study[[#This Row],[Profit]]</f>
        <v>64.508690572339603</v>
      </c>
      <c r="O590" s="2">
        <f>(Supermarket_Sales_Case_Study[[#This Row],[Sales_Amount]]-Supermarket_Sales_Case_Study[[#This Row],[Purchase]])/Supermarket_Sales_Case_Study[[#This Row],[Sales_Amount]]</f>
        <v>0.29999999999999899</v>
      </c>
      <c r="P590">
        <f>Supermarket_Sales_Case_Study[[#This Row],[Quantity]]*Supermarket_Sales_Case_Study[[#This Row],[Sales_Amount]]</f>
        <v>368.62108898479721</v>
      </c>
    </row>
    <row r="591" spans="1:16" x14ac:dyDescent="0.3">
      <c r="A591" t="s">
        <v>621</v>
      </c>
      <c r="B591" t="s">
        <v>39</v>
      </c>
      <c r="C591" t="s">
        <v>30</v>
      </c>
      <c r="D591">
        <v>2269</v>
      </c>
      <c r="E591" t="s">
        <v>16</v>
      </c>
      <c r="F591" t="s">
        <v>22</v>
      </c>
      <c r="G591" t="s">
        <v>18</v>
      </c>
      <c r="H591" s="1">
        <v>45325</v>
      </c>
      <c r="I591">
        <v>46.643379581208002</v>
      </c>
      <c r="J591">
        <v>9</v>
      </c>
      <c r="K591">
        <v>419.79041623087198</v>
      </c>
      <c r="L591">
        <v>125.937124869261</v>
      </c>
      <c r="M591" t="s">
        <v>19</v>
      </c>
      <c r="N591">
        <f>Supermarket_Sales_Case_Study[[#This Row],[Sales_Amount]]-Supermarket_Sales_Case_Study[[#This Row],[Profit]]</f>
        <v>293.85329136161101</v>
      </c>
      <c r="O591" s="2">
        <f>(Supermarket_Sales_Case_Study[[#This Row],[Sales_Amount]]-Supermarket_Sales_Case_Study[[#This Row],[Purchase]])/Supermarket_Sales_Case_Study[[#This Row],[Sales_Amount]]</f>
        <v>0.29999999999999849</v>
      </c>
      <c r="P591">
        <f>Supermarket_Sales_Case_Study[[#This Row],[Quantity]]*Supermarket_Sales_Case_Study[[#This Row],[Sales_Amount]]</f>
        <v>3778.1137460778477</v>
      </c>
    </row>
    <row r="592" spans="1:16" x14ac:dyDescent="0.3">
      <c r="A592" t="s">
        <v>622</v>
      </c>
      <c r="B592" t="s">
        <v>14</v>
      </c>
      <c r="C592" t="s">
        <v>30</v>
      </c>
      <c r="D592">
        <v>1738</v>
      </c>
      <c r="E592" t="s">
        <v>26</v>
      </c>
      <c r="F592" t="s">
        <v>17</v>
      </c>
      <c r="G592" t="s">
        <v>23</v>
      </c>
      <c r="H592" s="1">
        <v>45357</v>
      </c>
      <c r="I592">
        <v>173.141008369183</v>
      </c>
      <c r="J592">
        <v>1</v>
      </c>
      <c r="K592">
        <v>173.141008369183</v>
      </c>
      <c r="L592">
        <v>51.942302510755098</v>
      </c>
      <c r="M592" t="s">
        <v>34</v>
      </c>
      <c r="N592">
        <f>Supermarket_Sales_Case_Study[[#This Row],[Sales_Amount]]-Supermarket_Sales_Case_Study[[#This Row],[Profit]]</f>
        <v>121.1987058584279</v>
      </c>
      <c r="O592" s="2">
        <f>(Supermarket_Sales_Case_Study[[#This Row],[Sales_Amount]]-Supermarket_Sales_Case_Study[[#This Row],[Purchase]])/Supermarket_Sales_Case_Study[[#This Row],[Sales_Amount]]</f>
        <v>0.30000000000000115</v>
      </c>
      <c r="P592">
        <f>Supermarket_Sales_Case_Study[[#This Row],[Quantity]]*Supermarket_Sales_Case_Study[[#This Row],[Sales_Amount]]</f>
        <v>173.141008369183</v>
      </c>
    </row>
    <row r="593" spans="1:16" x14ac:dyDescent="0.3">
      <c r="A593" t="s">
        <v>623</v>
      </c>
      <c r="B593" t="s">
        <v>14</v>
      </c>
      <c r="C593" t="s">
        <v>36</v>
      </c>
      <c r="D593">
        <v>2129</v>
      </c>
      <c r="E593" t="s">
        <v>16</v>
      </c>
      <c r="F593" t="s">
        <v>22</v>
      </c>
      <c r="G593" t="s">
        <v>31</v>
      </c>
      <c r="H593" s="1">
        <v>45360</v>
      </c>
      <c r="I593">
        <v>231.896495356862</v>
      </c>
      <c r="J593">
        <v>2</v>
      </c>
      <c r="K593">
        <v>463.79299071372401</v>
      </c>
      <c r="L593">
        <v>139.137897214117</v>
      </c>
      <c r="M593" t="s">
        <v>19</v>
      </c>
      <c r="N593">
        <f>Supermarket_Sales_Case_Study[[#This Row],[Sales_Amount]]-Supermarket_Sales_Case_Study[[#This Row],[Profit]]</f>
        <v>324.65509349960701</v>
      </c>
      <c r="O593" s="2">
        <f>(Supermarket_Sales_Case_Study[[#This Row],[Sales_Amount]]-Supermarket_Sales_Case_Study[[#This Row],[Purchase]])/Supermarket_Sales_Case_Study[[#This Row],[Sales_Amount]]</f>
        <v>0.29999999999999954</v>
      </c>
      <c r="P593">
        <f>Supermarket_Sales_Case_Study[[#This Row],[Quantity]]*Supermarket_Sales_Case_Study[[#This Row],[Sales_Amount]]</f>
        <v>927.58598142744802</v>
      </c>
    </row>
    <row r="594" spans="1:16" x14ac:dyDescent="0.3">
      <c r="A594" t="s">
        <v>624</v>
      </c>
      <c r="B594" t="s">
        <v>39</v>
      </c>
      <c r="C594" t="s">
        <v>15</v>
      </c>
      <c r="D594">
        <v>2216</v>
      </c>
      <c r="E594" t="s">
        <v>16</v>
      </c>
      <c r="F594" t="s">
        <v>17</v>
      </c>
      <c r="G594" t="s">
        <v>37</v>
      </c>
      <c r="H594" s="1">
        <v>45346</v>
      </c>
      <c r="I594">
        <v>282.721570117216</v>
      </c>
      <c r="J594">
        <v>9</v>
      </c>
      <c r="K594">
        <v>2544.4941310549498</v>
      </c>
      <c r="L594">
        <v>763.34823931648396</v>
      </c>
      <c r="M594" t="s">
        <v>34</v>
      </c>
      <c r="N594">
        <f>Supermarket_Sales_Case_Study[[#This Row],[Sales_Amount]]-Supermarket_Sales_Case_Study[[#This Row],[Profit]]</f>
        <v>1781.1458917384657</v>
      </c>
      <c r="O594" s="2">
        <f>(Supermarket_Sales_Case_Study[[#This Row],[Sales_Amount]]-Supermarket_Sales_Case_Study[[#This Row],[Purchase]])/Supermarket_Sales_Case_Study[[#This Row],[Sales_Amount]]</f>
        <v>0.29999999999999966</v>
      </c>
      <c r="P594">
        <f>Supermarket_Sales_Case_Study[[#This Row],[Quantity]]*Supermarket_Sales_Case_Study[[#This Row],[Sales_Amount]]</f>
        <v>22900.447179494549</v>
      </c>
    </row>
    <row r="595" spans="1:16" x14ac:dyDescent="0.3">
      <c r="A595" t="s">
        <v>625</v>
      </c>
      <c r="B595" t="s">
        <v>14</v>
      </c>
      <c r="C595" t="s">
        <v>15</v>
      </c>
      <c r="D595">
        <v>2339</v>
      </c>
      <c r="E595" t="s">
        <v>16</v>
      </c>
      <c r="F595" t="s">
        <v>22</v>
      </c>
      <c r="G595" t="s">
        <v>23</v>
      </c>
      <c r="H595" s="1">
        <v>45301</v>
      </c>
      <c r="I595">
        <v>14.588719879078001</v>
      </c>
      <c r="J595">
        <v>2</v>
      </c>
      <c r="K595">
        <v>29.177439758156002</v>
      </c>
      <c r="L595">
        <v>8.7532319274468193</v>
      </c>
      <c r="M595" t="s">
        <v>34</v>
      </c>
      <c r="N595">
        <f>Supermarket_Sales_Case_Study[[#This Row],[Sales_Amount]]-Supermarket_Sales_Case_Study[[#This Row],[Profit]]</f>
        <v>20.424207830709182</v>
      </c>
      <c r="O595" s="2">
        <f>(Supermarket_Sales_Case_Study[[#This Row],[Sales_Amount]]-Supermarket_Sales_Case_Study[[#This Row],[Purchase]])/Supermarket_Sales_Case_Study[[#This Row],[Sales_Amount]]</f>
        <v>0.30000000000000066</v>
      </c>
      <c r="P595">
        <f>Supermarket_Sales_Case_Study[[#This Row],[Quantity]]*Supermarket_Sales_Case_Study[[#This Row],[Sales_Amount]]</f>
        <v>58.354879516312003</v>
      </c>
    </row>
    <row r="596" spans="1:16" x14ac:dyDescent="0.3">
      <c r="A596" t="s">
        <v>626</v>
      </c>
      <c r="B596" t="s">
        <v>21</v>
      </c>
      <c r="C596" t="s">
        <v>15</v>
      </c>
      <c r="D596">
        <v>1301</v>
      </c>
      <c r="E596" t="s">
        <v>16</v>
      </c>
      <c r="F596" t="s">
        <v>17</v>
      </c>
      <c r="G596" t="s">
        <v>33</v>
      </c>
      <c r="H596" s="1">
        <v>45333</v>
      </c>
      <c r="I596">
        <v>161.60044105294199</v>
      </c>
      <c r="J596">
        <v>3</v>
      </c>
      <c r="K596">
        <v>484.80132315882599</v>
      </c>
      <c r="L596">
        <v>145.440396947648</v>
      </c>
      <c r="M596" t="s">
        <v>19</v>
      </c>
      <c r="N596">
        <f>Supermarket_Sales_Case_Study[[#This Row],[Sales_Amount]]-Supermarket_Sales_Case_Study[[#This Row],[Profit]]</f>
        <v>339.36092621117803</v>
      </c>
      <c r="O596" s="2">
        <f>(Supermarket_Sales_Case_Study[[#This Row],[Sales_Amount]]-Supermarket_Sales_Case_Study[[#This Row],[Purchase]])/Supermarket_Sales_Case_Study[[#This Row],[Sales_Amount]]</f>
        <v>0.30000000000000038</v>
      </c>
      <c r="P596">
        <f>Supermarket_Sales_Case_Study[[#This Row],[Quantity]]*Supermarket_Sales_Case_Study[[#This Row],[Sales_Amount]]</f>
        <v>1454.4039694764779</v>
      </c>
    </row>
    <row r="597" spans="1:16" x14ac:dyDescent="0.3">
      <c r="A597" t="s">
        <v>627</v>
      </c>
      <c r="B597" t="s">
        <v>21</v>
      </c>
      <c r="C597" t="s">
        <v>36</v>
      </c>
      <c r="D597">
        <v>1547</v>
      </c>
      <c r="E597" t="s">
        <v>16</v>
      </c>
      <c r="F597" t="s">
        <v>22</v>
      </c>
      <c r="G597" t="s">
        <v>28</v>
      </c>
      <c r="H597" s="1">
        <v>45332</v>
      </c>
      <c r="I597">
        <v>146.551533304721</v>
      </c>
      <c r="J597">
        <v>7</v>
      </c>
      <c r="K597">
        <v>1025.86073313304</v>
      </c>
      <c r="L597">
        <v>307.758219939914</v>
      </c>
      <c r="M597" t="s">
        <v>19</v>
      </c>
      <c r="N597">
        <f>Supermarket_Sales_Case_Study[[#This Row],[Sales_Amount]]-Supermarket_Sales_Case_Study[[#This Row],[Profit]]</f>
        <v>718.10251319312601</v>
      </c>
      <c r="O597" s="2">
        <f>(Supermarket_Sales_Case_Study[[#This Row],[Sales_Amount]]-Supermarket_Sales_Case_Study[[#This Row],[Purchase]])/Supermarket_Sales_Case_Study[[#This Row],[Sales_Amount]]</f>
        <v>0.30000000000000193</v>
      </c>
      <c r="P597">
        <f>Supermarket_Sales_Case_Study[[#This Row],[Quantity]]*Supermarket_Sales_Case_Study[[#This Row],[Sales_Amount]]</f>
        <v>7181.0251319312792</v>
      </c>
    </row>
    <row r="598" spans="1:16" x14ac:dyDescent="0.3">
      <c r="A598" t="s">
        <v>628</v>
      </c>
      <c r="B598" t="s">
        <v>14</v>
      </c>
      <c r="C598" t="s">
        <v>30</v>
      </c>
      <c r="D598">
        <v>1715</v>
      </c>
      <c r="E598" t="s">
        <v>16</v>
      </c>
      <c r="F598" t="s">
        <v>17</v>
      </c>
      <c r="G598" t="s">
        <v>23</v>
      </c>
      <c r="H598" s="1">
        <v>45368</v>
      </c>
      <c r="I598">
        <v>200.25595637295399</v>
      </c>
      <c r="J598">
        <v>3</v>
      </c>
      <c r="K598">
        <v>600.767869118862</v>
      </c>
      <c r="L598">
        <v>180.230360735658</v>
      </c>
      <c r="M598" t="s">
        <v>34</v>
      </c>
      <c r="N598">
        <f>Supermarket_Sales_Case_Study[[#This Row],[Sales_Amount]]-Supermarket_Sales_Case_Study[[#This Row],[Profit]]</f>
        <v>420.537508383204</v>
      </c>
      <c r="O598" s="2">
        <f>(Supermarket_Sales_Case_Study[[#This Row],[Sales_Amount]]-Supermarket_Sales_Case_Study[[#This Row],[Purchase]])/Supermarket_Sales_Case_Study[[#This Row],[Sales_Amount]]</f>
        <v>0.29999999999999899</v>
      </c>
      <c r="P598">
        <f>Supermarket_Sales_Case_Study[[#This Row],[Quantity]]*Supermarket_Sales_Case_Study[[#This Row],[Sales_Amount]]</f>
        <v>1802.3036073565859</v>
      </c>
    </row>
    <row r="599" spans="1:16" x14ac:dyDescent="0.3">
      <c r="A599" t="s">
        <v>629</v>
      </c>
      <c r="B599" t="s">
        <v>21</v>
      </c>
      <c r="C599" t="s">
        <v>36</v>
      </c>
      <c r="D599">
        <v>1778</v>
      </c>
      <c r="E599" t="s">
        <v>16</v>
      </c>
      <c r="F599" t="s">
        <v>17</v>
      </c>
      <c r="G599" t="s">
        <v>28</v>
      </c>
      <c r="H599" s="1">
        <v>45360</v>
      </c>
      <c r="I599">
        <v>172.277867794949</v>
      </c>
      <c r="J599">
        <v>9</v>
      </c>
      <c r="K599">
        <v>1550.50081015454</v>
      </c>
      <c r="L599">
        <v>465.15024304636199</v>
      </c>
      <c r="M599" t="s">
        <v>24</v>
      </c>
      <c r="N599">
        <f>Supermarket_Sales_Case_Study[[#This Row],[Sales_Amount]]-Supermarket_Sales_Case_Study[[#This Row],[Profit]]</f>
        <v>1085.350567108178</v>
      </c>
      <c r="O599" s="2">
        <f>(Supermarket_Sales_Case_Study[[#This Row],[Sales_Amount]]-Supermarket_Sales_Case_Study[[#This Row],[Purchase]])/Supermarket_Sales_Case_Study[[#This Row],[Sales_Amount]]</f>
        <v>0.3</v>
      </c>
      <c r="P599">
        <f>Supermarket_Sales_Case_Study[[#This Row],[Quantity]]*Supermarket_Sales_Case_Study[[#This Row],[Sales_Amount]]</f>
        <v>13954.507291390859</v>
      </c>
    </row>
    <row r="600" spans="1:16" x14ac:dyDescent="0.3">
      <c r="A600" t="s">
        <v>630</v>
      </c>
      <c r="B600" t="s">
        <v>14</v>
      </c>
      <c r="C600" t="s">
        <v>30</v>
      </c>
      <c r="D600">
        <v>1267</v>
      </c>
      <c r="E600" t="s">
        <v>26</v>
      </c>
      <c r="F600" t="s">
        <v>17</v>
      </c>
      <c r="G600" t="s">
        <v>23</v>
      </c>
      <c r="H600" s="1">
        <v>45301</v>
      </c>
      <c r="I600">
        <v>209.241353668919</v>
      </c>
      <c r="J600">
        <v>6</v>
      </c>
      <c r="K600">
        <v>1255.4481220135101</v>
      </c>
      <c r="L600">
        <v>376.63443660405397</v>
      </c>
      <c r="M600" t="s">
        <v>19</v>
      </c>
      <c r="N600">
        <f>Supermarket_Sales_Case_Study[[#This Row],[Sales_Amount]]-Supermarket_Sales_Case_Study[[#This Row],[Profit]]</f>
        <v>878.81368540945618</v>
      </c>
      <c r="O600" s="2">
        <f>(Supermarket_Sales_Case_Study[[#This Row],[Sales_Amount]]-Supermarket_Sales_Case_Study[[#This Row],[Purchase]])/Supermarket_Sales_Case_Study[[#This Row],[Sales_Amount]]</f>
        <v>0.30000000000000071</v>
      </c>
      <c r="P600">
        <f>Supermarket_Sales_Case_Study[[#This Row],[Quantity]]*Supermarket_Sales_Case_Study[[#This Row],[Sales_Amount]]</f>
        <v>7532.6887320810602</v>
      </c>
    </row>
    <row r="601" spans="1:16" x14ac:dyDescent="0.3">
      <c r="A601" t="s">
        <v>631</v>
      </c>
      <c r="B601" t="s">
        <v>21</v>
      </c>
      <c r="C601" t="s">
        <v>30</v>
      </c>
      <c r="D601">
        <v>2193</v>
      </c>
      <c r="E601" t="s">
        <v>26</v>
      </c>
      <c r="F601" t="s">
        <v>17</v>
      </c>
      <c r="G601" t="s">
        <v>33</v>
      </c>
      <c r="H601" s="1">
        <v>45301</v>
      </c>
      <c r="I601">
        <v>200.84394957726499</v>
      </c>
      <c r="J601">
        <v>3</v>
      </c>
      <c r="K601">
        <v>602.53184873179498</v>
      </c>
      <c r="L601">
        <v>180.75955461953799</v>
      </c>
      <c r="M601" t="s">
        <v>34</v>
      </c>
      <c r="N601">
        <f>Supermarket_Sales_Case_Study[[#This Row],[Sales_Amount]]-Supermarket_Sales_Case_Study[[#This Row],[Profit]]</f>
        <v>421.77229411225699</v>
      </c>
      <c r="O601" s="2">
        <f>(Supermarket_Sales_Case_Study[[#This Row],[Sales_Amount]]-Supermarket_Sales_Case_Study[[#This Row],[Purchase]])/Supermarket_Sales_Case_Study[[#This Row],[Sales_Amount]]</f>
        <v>0.29999999999999916</v>
      </c>
      <c r="P601">
        <f>Supermarket_Sales_Case_Study[[#This Row],[Quantity]]*Supermarket_Sales_Case_Study[[#This Row],[Sales_Amount]]</f>
        <v>1807.5955461953849</v>
      </c>
    </row>
    <row r="602" spans="1:16" x14ac:dyDescent="0.3">
      <c r="A602" t="s">
        <v>632</v>
      </c>
      <c r="B602" t="s">
        <v>21</v>
      </c>
      <c r="C602" t="s">
        <v>36</v>
      </c>
      <c r="D602">
        <v>2009</v>
      </c>
      <c r="E602" t="s">
        <v>26</v>
      </c>
      <c r="F602" t="s">
        <v>17</v>
      </c>
      <c r="G602" t="s">
        <v>31</v>
      </c>
      <c r="H602" s="1">
        <v>45351</v>
      </c>
      <c r="I602">
        <v>43.9334002088044</v>
      </c>
      <c r="J602">
        <v>9</v>
      </c>
      <c r="K602">
        <v>395.40060187923899</v>
      </c>
      <c r="L602">
        <v>118.620180563771</v>
      </c>
      <c r="M602" t="s">
        <v>34</v>
      </c>
      <c r="N602">
        <f>Supermarket_Sales_Case_Study[[#This Row],[Sales_Amount]]-Supermarket_Sales_Case_Study[[#This Row],[Profit]]</f>
        <v>276.780421315468</v>
      </c>
      <c r="O602" s="2">
        <f>(Supermarket_Sales_Case_Study[[#This Row],[Sales_Amount]]-Supermarket_Sales_Case_Study[[#This Row],[Purchase]])/Supermarket_Sales_Case_Study[[#This Row],[Sales_Amount]]</f>
        <v>0.29999999999999821</v>
      </c>
      <c r="P602">
        <f>Supermarket_Sales_Case_Study[[#This Row],[Quantity]]*Supermarket_Sales_Case_Study[[#This Row],[Sales_Amount]]</f>
        <v>3558.6054169131507</v>
      </c>
    </row>
    <row r="603" spans="1:16" x14ac:dyDescent="0.3">
      <c r="A603" t="s">
        <v>633</v>
      </c>
      <c r="B603" t="s">
        <v>14</v>
      </c>
      <c r="C603" t="s">
        <v>30</v>
      </c>
      <c r="D603">
        <v>1550</v>
      </c>
      <c r="E603" t="s">
        <v>26</v>
      </c>
      <c r="F603" t="s">
        <v>17</v>
      </c>
      <c r="G603" t="s">
        <v>33</v>
      </c>
      <c r="H603" s="1">
        <v>45342</v>
      </c>
      <c r="I603">
        <v>241.918194949428</v>
      </c>
      <c r="J603">
        <v>1</v>
      </c>
      <c r="K603">
        <v>241.918194949428</v>
      </c>
      <c r="L603">
        <v>72.575458484828602</v>
      </c>
      <c r="M603" t="s">
        <v>24</v>
      </c>
      <c r="N603">
        <f>Supermarket_Sales_Case_Study[[#This Row],[Sales_Amount]]-Supermarket_Sales_Case_Study[[#This Row],[Profit]]</f>
        <v>169.3427364645994</v>
      </c>
      <c r="O603" s="2">
        <f>(Supermarket_Sales_Case_Study[[#This Row],[Sales_Amount]]-Supermarket_Sales_Case_Study[[#This Row],[Purchase]])/Supermarket_Sales_Case_Study[[#This Row],[Sales_Amount]]</f>
        <v>0.30000000000000082</v>
      </c>
      <c r="P603">
        <f>Supermarket_Sales_Case_Study[[#This Row],[Quantity]]*Supermarket_Sales_Case_Study[[#This Row],[Sales_Amount]]</f>
        <v>241.918194949428</v>
      </c>
    </row>
    <row r="604" spans="1:16" x14ac:dyDescent="0.3">
      <c r="A604" t="s">
        <v>634</v>
      </c>
      <c r="B604" t="s">
        <v>21</v>
      </c>
      <c r="C604" t="s">
        <v>30</v>
      </c>
      <c r="D604">
        <v>2478</v>
      </c>
      <c r="E604" t="s">
        <v>26</v>
      </c>
      <c r="F604" t="s">
        <v>22</v>
      </c>
      <c r="G604" t="s">
        <v>31</v>
      </c>
      <c r="H604" s="1">
        <v>45312</v>
      </c>
      <c r="I604">
        <v>45.7374469577342</v>
      </c>
      <c r="J604">
        <v>3</v>
      </c>
      <c r="K604">
        <v>137.21234087320201</v>
      </c>
      <c r="L604">
        <v>41.163702261960701</v>
      </c>
      <c r="M604" t="s">
        <v>24</v>
      </c>
      <c r="N604">
        <f>Supermarket_Sales_Case_Study[[#This Row],[Sales_Amount]]-Supermarket_Sales_Case_Study[[#This Row],[Profit]]</f>
        <v>96.048638611241302</v>
      </c>
      <c r="O604" s="2">
        <f>(Supermarket_Sales_Case_Study[[#This Row],[Sales_Amount]]-Supermarket_Sales_Case_Study[[#This Row],[Purchase]])/Supermarket_Sales_Case_Study[[#This Row],[Sales_Amount]]</f>
        <v>0.30000000000000077</v>
      </c>
      <c r="P604">
        <f>Supermarket_Sales_Case_Study[[#This Row],[Quantity]]*Supermarket_Sales_Case_Study[[#This Row],[Sales_Amount]]</f>
        <v>411.637022619606</v>
      </c>
    </row>
    <row r="605" spans="1:16" x14ac:dyDescent="0.3">
      <c r="A605" t="s">
        <v>635</v>
      </c>
      <c r="B605" t="s">
        <v>14</v>
      </c>
      <c r="C605" t="s">
        <v>15</v>
      </c>
      <c r="D605">
        <v>2315</v>
      </c>
      <c r="E605" t="s">
        <v>26</v>
      </c>
      <c r="F605" t="s">
        <v>17</v>
      </c>
      <c r="G605" t="s">
        <v>31</v>
      </c>
      <c r="H605" s="1">
        <v>45299</v>
      </c>
      <c r="I605">
        <v>212.573881310649</v>
      </c>
      <c r="J605">
        <v>1</v>
      </c>
      <c r="K605">
        <v>212.573881310649</v>
      </c>
      <c r="L605">
        <v>63.772164393194899</v>
      </c>
      <c r="M605" t="s">
        <v>24</v>
      </c>
      <c r="N605">
        <f>Supermarket_Sales_Case_Study[[#This Row],[Sales_Amount]]-Supermarket_Sales_Case_Study[[#This Row],[Profit]]</f>
        <v>148.80171691745409</v>
      </c>
      <c r="O605" s="2">
        <f>(Supermarket_Sales_Case_Study[[#This Row],[Sales_Amount]]-Supermarket_Sales_Case_Study[[#This Row],[Purchase]])/Supermarket_Sales_Case_Study[[#This Row],[Sales_Amount]]</f>
        <v>0.30000000000000099</v>
      </c>
      <c r="P605">
        <f>Supermarket_Sales_Case_Study[[#This Row],[Quantity]]*Supermarket_Sales_Case_Study[[#This Row],[Sales_Amount]]</f>
        <v>212.573881310649</v>
      </c>
    </row>
    <row r="606" spans="1:16" x14ac:dyDescent="0.3">
      <c r="A606" t="s">
        <v>636</v>
      </c>
      <c r="B606" t="s">
        <v>21</v>
      </c>
      <c r="C606" t="s">
        <v>30</v>
      </c>
      <c r="D606">
        <v>2164</v>
      </c>
      <c r="E606" t="s">
        <v>26</v>
      </c>
      <c r="F606" t="s">
        <v>22</v>
      </c>
      <c r="G606" t="s">
        <v>28</v>
      </c>
      <c r="H606" s="1">
        <v>45356</v>
      </c>
      <c r="I606">
        <v>130.682156615775</v>
      </c>
      <c r="J606">
        <v>2</v>
      </c>
      <c r="K606">
        <v>261.36431323155102</v>
      </c>
      <c r="L606">
        <v>78.409293969465494</v>
      </c>
      <c r="M606" t="s">
        <v>19</v>
      </c>
      <c r="N606">
        <f>Supermarket_Sales_Case_Study[[#This Row],[Sales_Amount]]-Supermarket_Sales_Case_Study[[#This Row],[Profit]]</f>
        <v>182.95501926208553</v>
      </c>
      <c r="O606" s="2">
        <f>(Supermarket_Sales_Case_Study[[#This Row],[Sales_Amount]]-Supermarket_Sales_Case_Study[[#This Row],[Purchase]])/Supermarket_Sales_Case_Study[[#This Row],[Sales_Amount]]</f>
        <v>0.30000000000000071</v>
      </c>
      <c r="P606">
        <f>Supermarket_Sales_Case_Study[[#This Row],[Quantity]]*Supermarket_Sales_Case_Study[[#This Row],[Sales_Amount]]</f>
        <v>522.72862646310205</v>
      </c>
    </row>
    <row r="607" spans="1:16" x14ac:dyDescent="0.3">
      <c r="A607" t="s">
        <v>637</v>
      </c>
      <c r="B607" t="s">
        <v>21</v>
      </c>
      <c r="C607" t="s">
        <v>36</v>
      </c>
      <c r="D607">
        <v>2169</v>
      </c>
      <c r="E607" t="s">
        <v>16</v>
      </c>
      <c r="F607" t="s">
        <v>22</v>
      </c>
      <c r="G607" t="s">
        <v>37</v>
      </c>
      <c r="H607" s="1">
        <v>45369</v>
      </c>
      <c r="I607">
        <v>159.016713027213</v>
      </c>
      <c r="J607">
        <v>8</v>
      </c>
      <c r="K607">
        <v>1272.1337042176999</v>
      </c>
      <c r="L607">
        <v>381.64011126531199</v>
      </c>
      <c r="M607" t="s">
        <v>34</v>
      </c>
      <c r="N607">
        <f>Supermarket_Sales_Case_Study[[#This Row],[Sales_Amount]]-Supermarket_Sales_Case_Study[[#This Row],[Profit]]</f>
        <v>890.49359295238787</v>
      </c>
      <c r="O607" s="2">
        <f>(Supermarket_Sales_Case_Study[[#This Row],[Sales_Amount]]-Supermarket_Sales_Case_Study[[#This Row],[Purchase]])/Supermarket_Sales_Case_Study[[#This Row],[Sales_Amount]]</f>
        <v>0.3000000000000016</v>
      </c>
      <c r="P607">
        <f>Supermarket_Sales_Case_Study[[#This Row],[Quantity]]*Supermarket_Sales_Case_Study[[#This Row],[Sales_Amount]]</f>
        <v>10177.069633741599</v>
      </c>
    </row>
    <row r="608" spans="1:16" x14ac:dyDescent="0.3">
      <c r="A608" t="s">
        <v>638</v>
      </c>
      <c r="B608" t="s">
        <v>39</v>
      </c>
      <c r="C608" t="s">
        <v>36</v>
      </c>
      <c r="D608">
        <v>2448</v>
      </c>
      <c r="E608" t="s">
        <v>16</v>
      </c>
      <c r="F608" t="s">
        <v>22</v>
      </c>
      <c r="G608" t="s">
        <v>33</v>
      </c>
      <c r="H608" s="1">
        <v>45376</v>
      </c>
      <c r="I608">
        <v>271.956424168956</v>
      </c>
      <c r="J608">
        <v>7</v>
      </c>
      <c r="K608">
        <v>1903.6949691826901</v>
      </c>
      <c r="L608">
        <v>571.10849075480701</v>
      </c>
      <c r="M608" t="s">
        <v>34</v>
      </c>
      <c r="N608">
        <f>Supermarket_Sales_Case_Study[[#This Row],[Sales_Amount]]-Supermarket_Sales_Case_Study[[#This Row],[Profit]]</f>
        <v>1332.5864784278831</v>
      </c>
      <c r="O608" s="2">
        <f>(Supermarket_Sales_Case_Study[[#This Row],[Sales_Amount]]-Supermarket_Sales_Case_Study[[#This Row],[Purchase]])/Supermarket_Sales_Case_Study[[#This Row],[Sales_Amount]]</f>
        <v>0.3</v>
      </c>
      <c r="P608">
        <f>Supermarket_Sales_Case_Study[[#This Row],[Quantity]]*Supermarket_Sales_Case_Study[[#This Row],[Sales_Amount]]</f>
        <v>13325.86478427883</v>
      </c>
    </row>
    <row r="609" spans="1:16" x14ac:dyDescent="0.3">
      <c r="A609" t="s">
        <v>639</v>
      </c>
      <c r="B609" t="s">
        <v>39</v>
      </c>
      <c r="C609" t="s">
        <v>30</v>
      </c>
      <c r="D609">
        <v>1313</v>
      </c>
      <c r="E609" t="s">
        <v>16</v>
      </c>
      <c r="F609" t="s">
        <v>22</v>
      </c>
      <c r="G609" t="s">
        <v>23</v>
      </c>
      <c r="H609" s="1">
        <v>45321</v>
      </c>
      <c r="I609">
        <v>268.066280677311</v>
      </c>
      <c r="J609">
        <v>2</v>
      </c>
      <c r="K609">
        <v>536.132561354622</v>
      </c>
      <c r="L609">
        <v>160.83976840638601</v>
      </c>
      <c r="M609" t="s">
        <v>34</v>
      </c>
      <c r="N609">
        <f>Supermarket_Sales_Case_Study[[#This Row],[Sales_Amount]]-Supermarket_Sales_Case_Study[[#This Row],[Profit]]</f>
        <v>375.29279294823596</v>
      </c>
      <c r="O609" s="2">
        <f>(Supermarket_Sales_Case_Study[[#This Row],[Sales_Amount]]-Supermarket_Sales_Case_Study[[#This Row],[Purchase]])/Supermarket_Sales_Case_Study[[#This Row],[Sales_Amount]]</f>
        <v>0.29999999999999893</v>
      </c>
      <c r="P609">
        <f>Supermarket_Sales_Case_Study[[#This Row],[Quantity]]*Supermarket_Sales_Case_Study[[#This Row],[Sales_Amount]]</f>
        <v>1072.265122709244</v>
      </c>
    </row>
    <row r="610" spans="1:16" x14ac:dyDescent="0.3">
      <c r="A610" t="s">
        <v>640</v>
      </c>
      <c r="B610" t="s">
        <v>14</v>
      </c>
      <c r="C610" t="s">
        <v>15</v>
      </c>
      <c r="D610">
        <v>1183</v>
      </c>
      <c r="E610" t="s">
        <v>16</v>
      </c>
      <c r="F610" t="s">
        <v>22</v>
      </c>
      <c r="G610" t="s">
        <v>33</v>
      </c>
      <c r="H610" s="1">
        <v>45376</v>
      </c>
      <c r="I610">
        <v>247.17832863995801</v>
      </c>
      <c r="J610">
        <v>2</v>
      </c>
      <c r="K610">
        <v>494.35665727991699</v>
      </c>
      <c r="L610">
        <v>148.306997183975</v>
      </c>
      <c r="M610" t="s">
        <v>24</v>
      </c>
      <c r="N610">
        <f>Supermarket_Sales_Case_Study[[#This Row],[Sales_Amount]]-Supermarket_Sales_Case_Study[[#This Row],[Profit]]</f>
        <v>346.04966009594199</v>
      </c>
      <c r="O610" s="2">
        <f>(Supermarket_Sales_Case_Study[[#This Row],[Sales_Amount]]-Supermarket_Sales_Case_Study[[#This Row],[Purchase]])/Supermarket_Sales_Case_Study[[#This Row],[Sales_Amount]]</f>
        <v>0.29999999999999982</v>
      </c>
      <c r="P610">
        <f>Supermarket_Sales_Case_Study[[#This Row],[Quantity]]*Supermarket_Sales_Case_Study[[#This Row],[Sales_Amount]]</f>
        <v>988.71331455983398</v>
      </c>
    </row>
    <row r="611" spans="1:16" x14ac:dyDescent="0.3">
      <c r="A611" t="s">
        <v>641</v>
      </c>
      <c r="B611" t="s">
        <v>39</v>
      </c>
      <c r="C611" t="s">
        <v>15</v>
      </c>
      <c r="D611">
        <v>1712</v>
      </c>
      <c r="E611" t="s">
        <v>26</v>
      </c>
      <c r="F611" t="s">
        <v>17</v>
      </c>
      <c r="G611" t="s">
        <v>28</v>
      </c>
      <c r="H611" s="1">
        <v>45340</v>
      </c>
      <c r="I611">
        <v>157.943030332333</v>
      </c>
      <c r="J611">
        <v>9</v>
      </c>
      <c r="K611">
        <v>1421.4872729910001</v>
      </c>
      <c r="L611">
        <v>426.44618189730102</v>
      </c>
      <c r="M611" t="s">
        <v>34</v>
      </c>
      <c r="N611">
        <f>Supermarket_Sales_Case_Study[[#This Row],[Sales_Amount]]-Supermarket_Sales_Case_Study[[#This Row],[Profit]]</f>
        <v>995.04109109369904</v>
      </c>
      <c r="O611" s="2">
        <f>(Supermarket_Sales_Case_Study[[#This Row],[Sales_Amount]]-Supermarket_Sales_Case_Study[[#This Row],[Purchase]])/Supermarket_Sales_Case_Study[[#This Row],[Sales_Amount]]</f>
        <v>0.30000000000000071</v>
      </c>
      <c r="P611">
        <f>Supermarket_Sales_Case_Study[[#This Row],[Quantity]]*Supermarket_Sales_Case_Study[[#This Row],[Sales_Amount]]</f>
        <v>12793.385456919001</v>
      </c>
    </row>
    <row r="612" spans="1:16" x14ac:dyDescent="0.3">
      <c r="A612" t="s">
        <v>642</v>
      </c>
      <c r="B612" t="s">
        <v>14</v>
      </c>
      <c r="C612" t="s">
        <v>30</v>
      </c>
      <c r="D612">
        <v>1127</v>
      </c>
      <c r="E612" t="s">
        <v>26</v>
      </c>
      <c r="F612" t="s">
        <v>17</v>
      </c>
      <c r="G612" t="s">
        <v>31</v>
      </c>
      <c r="H612" s="1">
        <v>45300</v>
      </c>
      <c r="I612">
        <v>223.50954493881099</v>
      </c>
      <c r="J612">
        <v>6</v>
      </c>
      <c r="K612">
        <v>1341.05726963286</v>
      </c>
      <c r="L612">
        <v>402.31718088986003</v>
      </c>
      <c r="M612" t="s">
        <v>19</v>
      </c>
      <c r="N612">
        <f>Supermarket_Sales_Case_Study[[#This Row],[Sales_Amount]]-Supermarket_Sales_Case_Study[[#This Row],[Profit]]</f>
        <v>938.74008874299989</v>
      </c>
      <c r="O612" s="2">
        <f>(Supermarket_Sales_Case_Study[[#This Row],[Sales_Amount]]-Supermarket_Sales_Case_Study[[#This Row],[Purchase]])/Supermarket_Sales_Case_Study[[#This Row],[Sales_Amount]]</f>
        <v>0.30000000000000154</v>
      </c>
      <c r="P612">
        <f>Supermarket_Sales_Case_Study[[#This Row],[Quantity]]*Supermarket_Sales_Case_Study[[#This Row],[Sales_Amount]]</f>
        <v>8046.3436177971598</v>
      </c>
    </row>
    <row r="613" spans="1:16" x14ac:dyDescent="0.3">
      <c r="A613" t="s">
        <v>643</v>
      </c>
      <c r="B613" t="s">
        <v>39</v>
      </c>
      <c r="C613" t="s">
        <v>30</v>
      </c>
      <c r="D613">
        <v>2310</v>
      </c>
      <c r="E613" t="s">
        <v>16</v>
      </c>
      <c r="F613" t="s">
        <v>17</v>
      </c>
      <c r="G613" t="s">
        <v>28</v>
      </c>
      <c r="H613" s="1">
        <v>45308</v>
      </c>
      <c r="I613">
        <v>158.74014610045401</v>
      </c>
      <c r="J613">
        <v>5</v>
      </c>
      <c r="K613">
        <v>793.70073050227302</v>
      </c>
      <c r="L613">
        <v>238.11021915068201</v>
      </c>
      <c r="M613" t="s">
        <v>24</v>
      </c>
      <c r="N613">
        <f>Supermarket_Sales_Case_Study[[#This Row],[Sales_Amount]]-Supermarket_Sales_Case_Study[[#This Row],[Profit]]</f>
        <v>555.59051135159098</v>
      </c>
      <c r="O613" s="2">
        <f>(Supermarket_Sales_Case_Study[[#This Row],[Sales_Amount]]-Supermarket_Sales_Case_Study[[#This Row],[Purchase]])/Supermarket_Sales_Case_Study[[#This Row],[Sales_Amount]]</f>
        <v>0.30000000000000016</v>
      </c>
      <c r="P613">
        <f>Supermarket_Sales_Case_Study[[#This Row],[Quantity]]*Supermarket_Sales_Case_Study[[#This Row],[Sales_Amount]]</f>
        <v>3968.5036525113651</v>
      </c>
    </row>
    <row r="614" spans="1:16" x14ac:dyDescent="0.3">
      <c r="A614" t="s">
        <v>644</v>
      </c>
      <c r="B614" t="s">
        <v>21</v>
      </c>
      <c r="C614" t="s">
        <v>36</v>
      </c>
      <c r="D614">
        <v>2276</v>
      </c>
      <c r="E614" t="s">
        <v>16</v>
      </c>
      <c r="F614" t="s">
        <v>22</v>
      </c>
      <c r="G614" t="s">
        <v>18</v>
      </c>
      <c r="H614" s="1">
        <v>45360</v>
      </c>
      <c r="I614">
        <v>262.18576391768499</v>
      </c>
      <c r="J614">
        <v>6</v>
      </c>
      <c r="K614">
        <v>1573.11458350611</v>
      </c>
      <c r="L614">
        <v>471.934375051833</v>
      </c>
      <c r="M614" t="s">
        <v>24</v>
      </c>
      <c r="N614">
        <f>Supermarket_Sales_Case_Study[[#This Row],[Sales_Amount]]-Supermarket_Sales_Case_Study[[#This Row],[Profit]]</f>
        <v>1101.1802084542769</v>
      </c>
      <c r="O614" s="2">
        <f>(Supermarket_Sales_Case_Study[[#This Row],[Sales_Amount]]-Supermarket_Sales_Case_Study[[#This Row],[Purchase]])/Supermarket_Sales_Case_Study[[#This Row],[Sales_Amount]]</f>
        <v>0.30000000000000004</v>
      </c>
      <c r="P614">
        <f>Supermarket_Sales_Case_Study[[#This Row],[Quantity]]*Supermarket_Sales_Case_Study[[#This Row],[Sales_Amount]]</f>
        <v>9438.6875010366603</v>
      </c>
    </row>
    <row r="615" spans="1:16" x14ac:dyDescent="0.3">
      <c r="A615" t="s">
        <v>645</v>
      </c>
      <c r="B615" t="s">
        <v>14</v>
      </c>
      <c r="C615" t="s">
        <v>30</v>
      </c>
      <c r="D615">
        <v>1699</v>
      </c>
      <c r="E615" t="s">
        <v>26</v>
      </c>
      <c r="F615" t="s">
        <v>17</v>
      </c>
      <c r="G615" t="s">
        <v>18</v>
      </c>
      <c r="H615" s="1">
        <v>45349</v>
      </c>
      <c r="I615">
        <v>126.80499163754</v>
      </c>
      <c r="J615">
        <v>9</v>
      </c>
      <c r="K615">
        <v>1141.2449247378599</v>
      </c>
      <c r="L615">
        <v>342.37347742136001</v>
      </c>
      <c r="M615" t="s">
        <v>24</v>
      </c>
      <c r="N615">
        <f>Supermarket_Sales_Case_Study[[#This Row],[Sales_Amount]]-Supermarket_Sales_Case_Study[[#This Row],[Profit]]</f>
        <v>798.87144731649994</v>
      </c>
      <c r="O615" s="2">
        <f>(Supermarket_Sales_Case_Study[[#This Row],[Sales_Amount]]-Supermarket_Sales_Case_Study[[#This Row],[Purchase]])/Supermarket_Sales_Case_Study[[#This Row],[Sales_Amount]]</f>
        <v>0.30000000000000177</v>
      </c>
      <c r="P615">
        <f>Supermarket_Sales_Case_Study[[#This Row],[Quantity]]*Supermarket_Sales_Case_Study[[#This Row],[Sales_Amount]]</f>
        <v>10271.20432264074</v>
      </c>
    </row>
    <row r="616" spans="1:16" x14ac:dyDescent="0.3">
      <c r="A616" t="s">
        <v>646</v>
      </c>
      <c r="B616" t="s">
        <v>14</v>
      </c>
      <c r="C616" t="s">
        <v>15</v>
      </c>
      <c r="D616">
        <v>1385</v>
      </c>
      <c r="E616" t="s">
        <v>16</v>
      </c>
      <c r="F616" t="s">
        <v>17</v>
      </c>
      <c r="G616" t="s">
        <v>23</v>
      </c>
      <c r="H616" s="1">
        <v>45348</v>
      </c>
      <c r="I616">
        <v>291.36824988031401</v>
      </c>
      <c r="J616">
        <v>7</v>
      </c>
      <c r="K616">
        <v>2039.5777491622</v>
      </c>
      <c r="L616">
        <v>611.87332474866002</v>
      </c>
      <c r="M616" t="s">
        <v>24</v>
      </c>
      <c r="N616">
        <f>Supermarket_Sales_Case_Study[[#This Row],[Sales_Amount]]-Supermarket_Sales_Case_Study[[#This Row],[Profit]]</f>
        <v>1427.70442441354</v>
      </c>
      <c r="O616" s="2">
        <f>(Supermarket_Sales_Case_Study[[#This Row],[Sales_Amount]]-Supermarket_Sales_Case_Study[[#This Row],[Purchase]])/Supermarket_Sales_Case_Study[[#This Row],[Sales_Amount]]</f>
        <v>0.3</v>
      </c>
      <c r="P616">
        <f>Supermarket_Sales_Case_Study[[#This Row],[Quantity]]*Supermarket_Sales_Case_Study[[#This Row],[Sales_Amount]]</f>
        <v>14277.044244135401</v>
      </c>
    </row>
    <row r="617" spans="1:16" x14ac:dyDescent="0.3">
      <c r="A617" t="s">
        <v>647</v>
      </c>
      <c r="B617" t="s">
        <v>21</v>
      </c>
      <c r="C617" t="s">
        <v>30</v>
      </c>
      <c r="D617">
        <v>2253</v>
      </c>
      <c r="E617" t="s">
        <v>16</v>
      </c>
      <c r="F617" t="s">
        <v>17</v>
      </c>
      <c r="G617" t="s">
        <v>28</v>
      </c>
      <c r="H617" s="1">
        <v>45353</v>
      </c>
      <c r="I617">
        <v>280.373599886374</v>
      </c>
      <c r="J617">
        <v>9</v>
      </c>
      <c r="K617">
        <v>2523.36239897737</v>
      </c>
      <c r="L617">
        <v>757.00871969321099</v>
      </c>
      <c r="M617" t="s">
        <v>19</v>
      </c>
      <c r="N617">
        <f>Supermarket_Sales_Case_Study[[#This Row],[Sales_Amount]]-Supermarket_Sales_Case_Study[[#This Row],[Profit]]</f>
        <v>1766.3536792841592</v>
      </c>
      <c r="O617" s="2">
        <f>(Supermarket_Sales_Case_Study[[#This Row],[Sales_Amount]]-Supermarket_Sales_Case_Study[[#This Row],[Purchase]])/Supermarket_Sales_Case_Study[[#This Row],[Sales_Amount]]</f>
        <v>0.29999999999999993</v>
      </c>
      <c r="P617">
        <f>Supermarket_Sales_Case_Study[[#This Row],[Quantity]]*Supermarket_Sales_Case_Study[[#This Row],[Sales_Amount]]</f>
        <v>22710.26159079633</v>
      </c>
    </row>
    <row r="618" spans="1:16" x14ac:dyDescent="0.3">
      <c r="A618" t="s">
        <v>648</v>
      </c>
      <c r="B618" t="s">
        <v>14</v>
      </c>
      <c r="C618" t="s">
        <v>36</v>
      </c>
      <c r="D618">
        <v>1270</v>
      </c>
      <c r="E618" t="s">
        <v>16</v>
      </c>
      <c r="F618" t="s">
        <v>17</v>
      </c>
      <c r="G618" t="s">
        <v>23</v>
      </c>
      <c r="H618" s="1">
        <v>45343</v>
      </c>
      <c r="I618">
        <v>225.06475964101699</v>
      </c>
      <c r="J618">
        <v>4</v>
      </c>
      <c r="K618">
        <v>900.25903856407103</v>
      </c>
      <c r="L618">
        <v>270.07771156922098</v>
      </c>
      <c r="M618" t="s">
        <v>34</v>
      </c>
      <c r="N618">
        <f>Supermarket_Sales_Case_Study[[#This Row],[Sales_Amount]]-Supermarket_Sales_Case_Study[[#This Row],[Profit]]</f>
        <v>630.18132699485</v>
      </c>
      <c r="O618" s="2">
        <f>(Supermarket_Sales_Case_Study[[#This Row],[Sales_Amount]]-Supermarket_Sales_Case_Study[[#This Row],[Purchase]])/Supermarket_Sales_Case_Study[[#This Row],[Sales_Amount]]</f>
        <v>0.29999999999999971</v>
      </c>
      <c r="P618">
        <f>Supermarket_Sales_Case_Study[[#This Row],[Quantity]]*Supermarket_Sales_Case_Study[[#This Row],[Sales_Amount]]</f>
        <v>3601.0361542562841</v>
      </c>
    </row>
    <row r="619" spans="1:16" x14ac:dyDescent="0.3">
      <c r="A619" t="s">
        <v>649</v>
      </c>
      <c r="B619" t="s">
        <v>14</v>
      </c>
      <c r="C619" t="s">
        <v>36</v>
      </c>
      <c r="D619">
        <v>1810</v>
      </c>
      <c r="E619" t="s">
        <v>16</v>
      </c>
      <c r="F619" t="s">
        <v>17</v>
      </c>
      <c r="G619" t="s">
        <v>23</v>
      </c>
      <c r="H619" s="1">
        <v>45352</v>
      </c>
      <c r="I619">
        <v>91.030606411060802</v>
      </c>
      <c r="J619">
        <v>2</v>
      </c>
      <c r="K619">
        <v>182.06121282212101</v>
      </c>
      <c r="L619">
        <v>54.618363846636498</v>
      </c>
      <c r="M619" t="s">
        <v>19</v>
      </c>
      <c r="N619">
        <f>Supermarket_Sales_Case_Study[[#This Row],[Sales_Amount]]-Supermarket_Sales_Case_Study[[#This Row],[Profit]]</f>
        <v>127.44284897548451</v>
      </c>
      <c r="O619" s="2">
        <f>(Supermarket_Sales_Case_Study[[#This Row],[Sales_Amount]]-Supermarket_Sales_Case_Study[[#This Row],[Purchase]])/Supermarket_Sales_Case_Study[[#This Row],[Sales_Amount]]</f>
        <v>0.3000000000000011</v>
      </c>
      <c r="P619">
        <f>Supermarket_Sales_Case_Study[[#This Row],[Quantity]]*Supermarket_Sales_Case_Study[[#This Row],[Sales_Amount]]</f>
        <v>364.12242564424201</v>
      </c>
    </row>
    <row r="620" spans="1:16" x14ac:dyDescent="0.3">
      <c r="A620" t="s">
        <v>650</v>
      </c>
      <c r="B620" t="s">
        <v>39</v>
      </c>
      <c r="C620" t="s">
        <v>36</v>
      </c>
      <c r="D620">
        <v>1414</v>
      </c>
      <c r="E620" t="s">
        <v>26</v>
      </c>
      <c r="F620" t="s">
        <v>22</v>
      </c>
      <c r="G620" t="s">
        <v>18</v>
      </c>
      <c r="H620" s="1">
        <v>45331</v>
      </c>
      <c r="I620">
        <v>48.1795407500449</v>
      </c>
      <c r="J620">
        <v>8</v>
      </c>
      <c r="K620">
        <v>385.43632600035897</v>
      </c>
      <c r="L620">
        <v>115.63089780010699</v>
      </c>
      <c r="M620" t="s">
        <v>34</v>
      </c>
      <c r="N620">
        <f>Supermarket_Sales_Case_Study[[#This Row],[Sales_Amount]]-Supermarket_Sales_Case_Study[[#This Row],[Profit]]</f>
        <v>269.80542820025198</v>
      </c>
      <c r="O620" s="2">
        <f>(Supermarket_Sales_Case_Study[[#This Row],[Sales_Amount]]-Supermarket_Sales_Case_Study[[#This Row],[Purchase]])/Supermarket_Sales_Case_Study[[#This Row],[Sales_Amount]]</f>
        <v>0.29999999999999821</v>
      </c>
      <c r="P620">
        <f>Supermarket_Sales_Case_Study[[#This Row],[Quantity]]*Supermarket_Sales_Case_Study[[#This Row],[Sales_Amount]]</f>
        <v>3083.4906080028718</v>
      </c>
    </row>
    <row r="621" spans="1:16" x14ac:dyDescent="0.3">
      <c r="A621" t="s">
        <v>651</v>
      </c>
      <c r="B621" t="s">
        <v>14</v>
      </c>
      <c r="C621" t="s">
        <v>36</v>
      </c>
      <c r="D621">
        <v>1197</v>
      </c>
      <c r="E621" t="s">
        <v>16</v>
      </c>
      <c r="F621" t="s">
        <v>17</v>
      </c>
      <c r="G621" t="s">
        <v>23</v>
      </c>
      <c r="H621" s="1">
        <v>45329</v>
      </c>
      <c r="I621">
        <v>257.86400052702697</v>
      </c>
      <c r="J621">
        <v>4</v>
      </c>
      <c r="K621">
        <v>1031.4560021080999</v>
      </c>
      <c r="L621">
        <v>309.43680063243198</v>
      </c>
      <c r="M621" t="s">
        <v>19</v>
      </c>
      <c r="N621">
        <f>Supermarket_Sales_Case_Study[[#This Row],[Sales_Amount]]-Supermarket_Sales_Case_Study[[#This Row],[Profit]]</f>
        <v>722.01920147566796</v>
      </c>
      <c r="O621" s="2">
        <f>(Supermarket_Sales_Case_Study[[#This Row],[Sales_Amount]]-Supermarket_Sales_Case_Study[[#This Row],[Purchase]])/Supermarket_Sales_Case_Study[[#This Row],[Sales_Amount]]</f>
        <v>0.30000000000000193</v>
      </c>
      <c r="P621">
        <f>Supermarket_Sales_Case_Study[[#This Row],[Quantity]]*Supermarket_Sales_Case_Study[[#This Row],[Sales_Amount]]</f>
        <v>4125.8240084323998</v>
      </c>
    </row>
    <row r="622" spans="1:16" x14ac:dyDescent="0.3">
      <c r="A622" t="s">
        <v>652</v>
      </c>
      <c r="B622" t="s">
        <v>21</v>
      </c>
      <c r="C622" t="s">
        <v>36</v>
      </c>
      <c r="D622">
        <v>2346</v>
      </c>
      <c r="E622" t="s">
        <v>16</v>
      </c>
      <c r="F622" t="s">
        <v>22</v>
      </c>
      <c r="G622" t="s">
        <v>18</v>
      </c>
      <c r="H622" s="1">
        <v>45334</v>
      </c>
      <c r="I622">
        <v>57.937662980008703</v>
      </c>
      <c r="J622">
        <v>9</v>
      </c>
      <c r="K622">
        <v>521.43896682007801</v>
      </c>
      <c r="L622">
        <v>156.43169004602299</v>
      </c>
      <c r="M622" t="s">
        <v>24</v>
      </c>
      <c r="N622">
        <f>Supermarket_Sales_Case_Study[[#This Row],[Sales_Amount]]-Supermarket_Sales_Case_Study[[#This Row],[Profit]]</f>
        <v>365.00727677405501</v>
      </c>
      <c r="O622" s="2">
        <f>(Supermarket_Sales_Case_Study[[#This Row],[Sales_Amount]]-Supermarket_Sales_Case_Study[[#This Row],[Purchase]])/Supermarket_Sales_Case_Study[[#This Row],[Sales_Amount]]</f>
        <v>0.29999999999999921</v>
      </c>
      <c r="P622">
        <f>Supermarket_Sales_Case_Study[[#This Row],[Quantity]]*Supermarket_Sales_Case_Study[[#This Row],[Sales_Amount]]</f>
        <v>4692.9507013807024</v>
      </c>
    </row>
    <row r="623" spans="1:16" x14ac:dyDescent="0.3">
      <c r="A623" t="s">
        <v>653</v>
      </c>
      <c r="B623" t="s">
        <v>39</v>
      </c>
      <c r="C623" t="s">
        <v>30</v>
      </c>
      <c r="D623">
        <v>2079</v>
      </c>
      <c r="E623" t="s">
        <v>26</v>
      </c>
      <c r="F623" t="s">
        <v>22</v>
      </c>
      <c r="G623" t="s">
        <v>31</v>
      </c>
      <c r="H623" s="1">
        <v>45354</v>
      </c>
      <c r="I623">
        <v>257.73562880922702</v>
      </c>
      <c r="J623">
        <v>4</v>
      </c>
      <c r="K623">
        <v>1030.9425152368999</v>
      </c>
      <c r="L623">
        <v>309.28275457107202</v>
      </c>
      <c r="M623" t="s">
        <v>24</v>
      </c>
      <c r="N623">
        <f>Supermarket_Sales_Case_Study[[#This Row],[Sales_Amount]]-Supermarket_Sales_Case_Study[[#This Row],[Profit]]</f>
        <v>721.65976066582789</v>
      </c>
      <c r="O623" s="2">
        <f>(Supermarket_Sales_Case_Study[[#This Row],[Sales_Amount]]-Supermarket_Sales_Case_Study[[#This Row],[Purchase]])/Supermarket_Sales_Case_Study[[#This Row],[Sales_Amount]]</f>
        <v>0.30000000000000199</v>
      </c>
      <c r="P623">
        <f>Supermarket_Sales_Case_Study[[#This Row],[Quantity]]*Supermarket_Sales_Case_Study[[#This Row],[Sales_Amount]]</f>
        <v>4123.7700609475996</v>
      </c>
    </row>
    <row r="624" spans="1:16" x14ac:dyDescent="0.3">
      <c r="A624" t="s">
        <v>654</v>
      </c>
      <c r="B624" t="s">
        <v>39</v>
      </c>
      <c r="C624" t="s">
        <v>30</v>
      </c>
      <c r="D624">
        <v>1830</v>
      </c>
      <c r="E624" t="s">
        <v>26</v>
      </c>
      <c r="F624" t="s">
        <v>22</v>
      </c>
      <c r="G624" t="s">
        <v>28</v>
      </c>
      <c r="H624" s="1">
        <v>45310</v>
      </c>
      <c r="I624">
        <v>152.32185194658399</v>
      </c>
      <c r="J624">
        <v>8</v>
      </c>
      <c r="K624">
        <v>1218.5748155726701</v>
      </c>
      <c r="L624">
        <v>365.57244467180197</v>
      </c>
      <c r="M624" t="s">
        <v>19</v>
      </c>
      <c r="N624">
        <f>Supermarket_Sales_Case_Study[[#This Row],[Sales_Amount]]-Supermarket_Sales_Case_Study[[#This Row],[Profit]]</f>
        <v>853.00237090086807</v>
      </c>
      <c r="O624" s="2">
        <f>(Supermarket_Sales_Case_Study[[#This Row],[Sales_Amount]]-Supermarket_Sales_Case_Study[[#This Row],[Purchase]])/Supermarket_Sales_Case_Study[[#This Row],[Sales_Amount]]</f>
        <v>0.30000000000000082</v>
      </c>
      <c r="P624">
        <f>Supermarket_Sales_Case_Study[[#This Row],[Quantity]]*Supermarket_Sales_Case_Study[[#This Row],[Sales_Amount]]</f>
        <v>9748.5985245813608</v>
      </c>
    </row>
    <row r="625" spans="1:16" x14ac:dyDescent="0.3">
      <c r="A625" t="s">
        <v>655</v>
      </c>
      <c r="B625" t="s">
        <v>21</v>
      </c>
      <c r="C625" t="s">
        <v>30</v>
      </c>
      <c r="D625">
        <v>2226</v>
      </c>
      <c r="E625" t="s">
        <v>16</v>
      </c>
      <c r="F625" t="s">
        <v>22</v>
      </c>
      <c r="G625" t="s">
        <v>23</v>
      </c>
      <c r="H625" s="1">
        <v>45341</v>
      </c>
      <c r="I625">
        <v>127.90146730435001</v>
      </c>
      <c r="J625">
        <v>9</v>
      </c>
      <c r="K625">
        <v>1151.1132057391501</v>
      </c>
      <c r="L625">
        <v>345.33396172174503</v>
      </c>
      <c r="M625" t="s">
        <v>19</v>
      </c>
      <c r="N625">
        <f>Supermarket_Sales_Case_Study[[#This Row],[Sales_Amount]]-Supermarket_Sales_Case_Study[[#This Row],[Profit]]</f>
        <v>805.77924401740506</v>
      </c>
      <c r="O625" s="2">
        <f>(Supermarket_Sales_Case_Study[[#This Row],[Sales_Amount]]-Supermarket_Sales_Case_Study[[#This Row],[Purchase]])/Supermarket_Sales_Case_Study[[#This Row],[Sales_Amount]]</f>
        <v>0.3</v>
      </c>
      <c r="P625">
        <f>Supermarket_Sales_Case_Study[[#This Row],[Quantity]]*Supermarket_Sales_Case_Study[[#This Row],[Sales_Amount]]</f>
        <v>10360.01885165235</v>
      </c>
    </row>
    <row r="626" spans="1:16" x14ac:dyDescent="0.3">
      <c r="A626" t="s">
        <v>656</v>
      </c>
      <c r="B626" t="s">
        <v>21</v>
      </c>
      <c r="C626" t="s">
        <v>30</v>
      </c>
      <c r="D626">
        <v>1627</v>
      </c>
      <c r="E626" t="s">
        <v>26</v>
      </c>
      <c r="F626" t="s">
        <v>22</v>
      </c>
      <c r="G626" t="s">
        <v>18</v>
      </c>
      <c r="H626" s="1">
        <v>45324</v>
      </c>
      <c r="I626">
        <v>271.92532586198399</v>
      </c>
      <c r="J626">
        <v>9</v>
      </c>
      <c r="K626">
        <v>2447.3279327578598</v>
      </c>
      <c r="L626">
        <v>734.19837982735805</v>
      </c>
      <c r="M626" t="s">
        <v>34</v>
      </c>
      <c r="N626">
        <f>Supermarket_Sales_Case_Study[[#This Row],[Sales_Amount]]-Supermarket_Sales_Case_Study[[#This Row],[Profit]]</f>
        <v>1713.1295529305016</v>
      </c>
      <c r="O626" s="2">
        <f>(Supermarket_Sales_Case_Study[[#This Row],[Sales_Amount]]-Supermarket_Sales_Case_Study[[#This Row],[Purchase]])/Supermarket_Sales_Case_Study[[#This Row],[Sales_Amount]]</f>
        <v>0.3000000000000001</v>
      </c>
      <c r="P626">
        <f>Supermarket_Sales_Case_Study[[#This Row],[Quantity]]*Supermarket_Sales_Case_Study[[#This Row],[Sales_Amount]]</f>
        <v>22025.951394820739</v>
      </c>
    </row>
    <row r="627" spans="1:16" x14ac:dyDescent="0.3">
      <c r="A627" t="s">
        <v>657</v>
      </c>
      <c r="B627" t="s">
        <v>39</v>
      </c>
      <c r="C627" t="s">
        <v>36</v>
      </c>
      <c r="D627">
        <v>1603</v>
      </c>
      <c r="E627" t="s">
        <v>16</v>
      </c>
      <c r="F627" t="s">
        <v>17</v>
      </c>
      <c r="G627" t="s">
        <v>33</v>
      </c>
      <c r="H627" s="1">
        <v>45304</v>
      </c>
      <c r="I627">
        <v>185.11678493668001</v>
      </c>
      <c r="J627">
        <v>4</v>
      </c>
      <c r="K627">
        <v>740.46713974672195</v>
      </c>
      <c r="L627">
        <v>222.14014192401601</v>
      </c>
      <c r="M627" t="s">
        <v>19</v>
      </c>
      <c r="N627">
        <f>Supermarket_Sales_Case_Study[[#This Row],[Sales_Amount]]-Supermarket_Sales_Case_Study[[#This Row],[Profit]]</f>
        <v>518.32699782270595</v>
      </c>
      <c r="O627" s="2">
        <f>(Supermarket_Sales_Case_Study[[#This Row],[Sales_Amount]]-Supermarket_Sales_Case_Study[[#This Row],[Purchase]])/Supermarket_Sales_Case_Study[[#This Row],[Sales_Amount]]</f>
        <v>0.29999999999999921</v>
      </c>
      <c r="P627">
        <f>Supermarket_Sales_Case_Study[[#This Row],[Quantity]]*Supermarket_Sales_Case_Study[[#This Row],[Sales_Amount]]</f>
        <v>2961.8685589868878</v>
      </c>
    </row>
    <row r="628" spans="1:16" x14ac:dyDescent="0.3">
      <c r="A628" t="s">
        <v>658</v>
      </c>
      <c r="B628" t="s">
        <v>14</v>
      </c>
      <c r="C628" t="s">
        <v>15</v>
      </c>
      <c r="D628">
        <v>2161</v>
      </c>
      <c r="E628" t="s">
        <v>16</v>
      </c>
      <c r="F628" t="s">
        <v>17</v>
      </c>
      <c r="G628" t="s">
        <v>23</v>
      </c>
      <c r="H628" s="1">
        <v>45369</v>
      </c>
      <c r="I628">
        <v>177.21806206761801</v>
      </c>
      <c r="J628">
        <v>1</v>
      </c>
      <c r="K628">
        <v>177.21806206761801</v>
      </c>
      <c r="L628">
        <v>53.165418620285401</v>
      </c>
      <c r="M628" t="s">
        <v>19</v>
      </c>
      <c r="N628">
        <f>Supermarket_Sales_Case_Study[[#This Row],[Sales_Amount]]-Supermarket_Sales_Case_Study[[#This Row],[Profit]]</f>
        <v>124.0526434473326</v>
      </c>
      <c r="O628" s="2">
        <f>(Supermarket_Sales_Case_Study[[#This Row],[Sales_Amount]]-Supermarket_Sales_Case_Study[[#This Row],[Purchase]])/Supermarket_Sales_Case_Study[[#This Row],[Sales_Amount]]</f>
        <v>0.30000000000000004</v>
      </c>
      <c r="P628">
        <f>Supermarket_Sales_Case_Study[[#This Row],[Quantity]]*Supermarket_Sales_Case_Study[[#This Row],[Sales_Amount]]</f>
        <v>177.21806206761801</v>
      </c>
    </row>
    <row r="629" spans="1:16" x14ac:dyDescent="0.3">
      <c r="A629" t="s">
        <v>659</v>
      </c>
      <c r="B629" t="s">
        <v>39</v>
      </c>
      <c r="C629" t="s">
        <v>30</v>
      </c>
      <c r="D629">
        <v>2445</v>
      </c>
      <c r="E629" t="s">
        <v>26</v>
      </c>
      <c r="F629" t="s">
        <v>17</v>
      </c>
      <c r="G629" t="s">
        <v>37</v>
      </c>
      <c r="H629" s="1">
        <v>45353</v>
      </c>
      <c r="I629">
        <v>172.042123941075</v>
      </c>
      <c r="J629">
        <v>3</v>
      </c>
      <c r="K629">
        <v>516.12637182322601</v>
      </c>
      <c r="L629">
        <v>154.83791154696701</v>
      </c>
      <c r="M629" t="s">
        <v>34</v>
      </c>
      <c r="N629">
        <f>Supermarket_Sales_Case_Study[[#This Row],[Sales_Amount]]-Supermarket_Sales_Case_Study[[#This Row],[Profit]]</f>
        <v>361.288460276259</v>
      </c>
      <c r="O629" s="2">
        <f>(Supermarket_Sales_Case_Study[[#This Row],[Sales_Amount]]-Supermarket_Sales_Case_Study[[#This Row],[Purchase]])/Supermarket_Sales_Case_Study[[#This Row],[Sales_Amount]]</f>
        <v>0.29999999999999843</v>
      </c>
      <c r="P629">
        <f>Supermarket_Sales_Case_Study[[#This Row],[Quantity]]*Supermarket_Sales_Case_Study[[#This Row],[Sales_Amount]]</f>
        <v>1548.379115469678</v>
      </c>
    </row>
    <row r="630" spans="1:16" x14ac:dyDescent="0.3">
      <c r="A630" t="s">
        <v>660</v>
      </c>
      <c r="B630" t="s">
        <v>21</v>
      </c>
      <c r="C630" t="s">
        <v>15</v>
      </c>
      <c r="D630">
        <v>2080</v>
      </c>
      <c r="E630" t="s">
        <v>16</v>
      </c>
      <c r="F630" t="s">
        <v>22</v>
      </c>
      <c r="G630" t="s">
        <v>31</v>
      </c>
      <c r="H630" s="1">
        <v>45334</v>
      </c>
      <c r="I630">
        <v>117.63915964566399</v>
      </c>
      <c r="J630">
        <v>9</v>
      </c>
      <c r="K630">
        <v>1058.75243681097</v>
      </c>
      <c r="L630">
        <v>317.625731043293</v>
      </c>
      <c r="M630" t="s">
        <v>34</v>
      </c>
      <c r="N630">
        <f>Supermarket_Sales_Case_Study[[#This Row],[Sales_Amount]]-Supermarket_Sales_Case_Study[[#This Row],[Profit]]</f>
        <v>741.12670576767709</v>
      </c>
      <c r="O630" s="2">
        <f>(Supermarket_Sales_Case_Study[[#This Row],[Sales_Amount]]-Supermarket_Sales_Case_Study[[#This Row],[Purchase]])/Supermarket_Sales_Case_Study[[#This Row],[Sales_Amount]]</f>
        <v>0.30000000000000182</v>
      </c>
      <c r="P630">
        <f>Supermarket_Sales_Case_Study[[#This Row],[Quantity]]*Supermarket_Sales_Case_Study[[#This Row],[Sales_Amount]]</f>
        <v>9528.7719312987301</v>
      </c>
    </row>
    <row r="631" spans="1:16" x14ac:dyDescent="0.3">
      <c r="A631" t="s">
        <v>661</v>
      </c>
      <c r="B631" t="s">
        <v>39</v>
      </c>
      <c r="C631" t="s">
        <v>30</v>
      </c>
      <c r="D631">
        <v>2009</v>
      </c>
      <c r="E631" t="s">
        <v>16</v>
      </c>
      <c r="F631" t="s">
        <v>17</v>
      </c>
      <c r="G631" t="s">
        <v>31</v>
      </c>
      <c r="H631" s="1">
        <v>45340</v>
      </c>
      <c r="I631">
        <v>237.83650002344601</v>
      </c>
      <c r="J631">
        <v>4</v>
      </c>
      <c r="K631">
        <v>951.34600009378698</v>
      </c>
      <c r="L631">
        <v>285.403800028136</v>
      </c>
      <c r="M631" t="s">
        <v>34</v>
      </c>
      <c r="N631">
        <f>Supermarket_Sales_Case_Study[[#This Row],[Sales_Amount]]-Supermarket_Sales_Case_Study[[#This Row],[Profit]]</f>
        <v>665.94220006565092</v>
      </c>
      <c r="O631" s="2">
        <f>(Supermarket_Sales_Case_Study[[#This Row],[Sales_Amount]]-Supermarket_Sales_Case_Study[[#This Row],[Purchase]])/Supermarket_Sales_Case_Study[[#This Row],[Sales_Amount]]</f>
        <v>0.3</v>
      </c>
      <c r="P631">
        <f>Supermarket_Sales_Case_Study[[#This Row],[Quantity]]*Supermarket_Sales_Case_Study[[#This Row],[Sales_Amount]]</f>
        <v>3805.3840003751479</v>
      </c>
    </row>
    <row r="632" spans="1:16" x14ac:dyDescent="0.3">
      <c r="A632" t="s">
        <v>662</v>
      </c>
      <c r="B632" t="s">
        <v>21</v>
      </c>
      <c r="C632" t="s">
        <v>30</v>
      </c>
      <c r="D632">
        <v>1070</v>
      </c>
      <c r="E632" t="s">
        <v>16</v>
      </c>
      <c r="F632" t="s">
        <v>17</v>
      </c>
      <c r="G632" t="s">
        <v>33</v>
      </c>
      <c r="H632" s="1">
        <v>45327</v>
      </c>
      <c r="I632">
        <v>83.311548764574098</v>
      </c>
      <c r="J632">
        <v>5</v>
      </c>
      <c r="K632">
        <v>416.55774382287001</v>
      </c>
      <c r="L632">
        <v>124.96732314686101</v>
      </c>
      <c r="M632" t="s">
        <v>19</v>
      </c>
      <c r="N632">
        <f>Supermarket_Sales_Case_Study[[#This Row],[Sales_Amount]]-Supermarket_Sales_Case_Study[[#This Row],[Profit]]</f>
        <v>291.59042067600899</v>
      </c>
      <c r="O632" s="2">
        <f>(Supermarket_Sales_Case_Study[[#This Row],[Sales_Amount]]-Supermarket_Sales_Case_Study[[#This Row],[Purchase]])/Supermarket_Sales_Case_Study[[#This Row],[Sales_Amount]]</f>
        <v>0.30000000000000004</v>
      </c>
      <c r="P632">
        <f>Supermarket_Sales_Case_Study[[#This Row],[Quantity]]*Supermarket_Sales_Case_Study[[#This Row],[Sales_Amount]]</f>
        <v>2082.78871911435</v>
      </c>
    </row>
    <row r="633" spans="1:16" x14ac:dyDescent="0.3">
      <c r="A633" t="s">
        <v>663</v>
      </c>
      <c r="B633" t="s">
        <v>39</v>
      </c>
      <c r="C633" t="s">
        <v>15</v>
      </c>
      <c r="D633">
        <v>1910</v>
      </c>
      <c r="E633" t="s">
        <v>16</v>
      </c>
      <c r="F633" t="s">
        <v>22</v>
      </c>
      <c r="G633" t="s">
        <v>18</v>
      </c>
      <c r="H633" s="1">
        <v>45301</v>
      </c>
      <c r="I633">
        <v>282.27953841196899</v>
      </c>
      <c r="J633">
        <v>7</v>
      </c>
      <c r="K633">
        <v>1975.9567688837799</v>
      </c>
      <c r="L633">
        <v>592.78703066513594</v>
      </c>
      <c r="M633" t="s">
        <v>34</v>
      </c>
      <c r="N633">
        <f>Supermarket_Sales_Case_Study[[#This Row],[Sales_Amount]]-Supermarket_Sales_Case_Study[[#This Row],[Profit]]</f>
        <v>1383.1697382186439</v>
      </c>
      <c r="O633" s="2">
        <f>(Supermarket_Sales_Case_Study[[#This Row],[Sales_Amount]]-Supermarket_Sales_Case_Study[[#This Row],[Purchase]])/Supermarket_Sales_Case_Study[[#This Row],[Sales_Amount]]</f>
        <v>0.30000000000000099</v>
      </c>
      <c r="P633">
        <f>Supermarket_Sales_Case_Study[[#This Row],[Quantity]]*Supermarket_Sales_Case_Study[[#This Row],[Sales_Amount]]</f>
        <v>13831.697382186459</v>
      </c>
    </row>
    <row r="634" spans="1:16" x14ac:dyDescent="0.3">
      <c r="A634" t="s">
        <v>664</v>
      </c>
      <c r="B634" t="s">
        <v>14</v>
      </c>
      <c r="C634" t="s">
        <v>36</v>
      </c>
      <c r="D634">
        <v>1593</v>
      </c>
      <c r="E634" t="s">
        <v>26</v>
      </c>
      <c r="F634" t="s">
        <v>22</v>
      </c>
      <c r="G634" t="s">
        <v>23</v>
      </c>
      <c r="H634" s="1">
        <v>45297</v>
      </c>
      <c r="I634">
        <v>269.25570946361802</v>
      </c>
      <c r="J634">
        <v>5</v>
      </c>
      <c r="K634">
        <v>1346.27854731809</v>
      </c>
      <c r="L634">
        <v>403.88356419542703</v>
      </c>
      <c r="M634" t="s">
        <v>24</v>
      </c>
      <c r="N634">
        <f>Supermarket_Sales_Case_Study[[#This Row],[Sales_Amount]]-Supermarket_Sales_Case_Study[[#This Row],[Profit]]</f>
        <v>942.39498312266301</v>
      </c>
      <c r="O634" s="2">
        <f>(Supermarket_Sales_Case_Study[[#This Row],[Sales_Amount]]-Supermarket_Sales_Case_Study[[#This Row],[Purchase]])/Supermarket_Sales_Case_Study[[#This Row],[Sales_Amount]]</f>
        <v>0.3</v>
      </c>
      <c r="P634">
        <f>Supermarket_Sales_Case_Study[[#This Row],[Quantity]]*Supermarket_Sales_Case_Study[[#This Row],[Sales_Amount]]</f>
        <v>6731.3927365904501</v>
      </c>
    </row>
    <row r="635" spans="1:16" x14ac:dyDescent="0.3">
      <c r="A635" t="s">
        <v>665</v>
      </c>
      <c r="B635" t="s">
        <v>39</v>
      </c>
      <c r="C635" t="s">
        <v>30</v>
      </c>
      <c r="D635">
        <v>2395</v>
      </c>
      <c r="E635" t="s">
        <v>26</v>
      </c>
      <c r="F635" t="s">
        <v>22</v>
      </c>
      <c r="G635" t="s">
        <v>18</v>
      </c>
      <c r="H635" s="1">
        <v>45348</v>
      </c>
      <c r="I635">
        <v>107.86929444572</v>
      </c>
      <c r="J635">
        <v>4</v>
      </c>
      <c r="K635">
        <v>431.47717778288097</v>
      </c>
      <c r="L635">
        <v>129.44315333486401</v>
      </c>
      <c r="M635" t="s">
        <v>24</v>
      </c>
      <c r="N635">
        <f>Supermarket_Sales_Case_Study[[#This Row],[Sales_Amount]]-Supermarket_Sales_Case_Study[[#This Row],[Profit]]</f>
        <v>302.03402444801696</v>
      </c>
      <c r="O635" s="2">
        <f>(Supermarket_Sales_Case_Study[[#This Row],[Sales_Amount]]-Supermarket_Sales_Case_Study[[#This Row],[Purchase]])/Supermarket_Sales_Case_Study[[#This Row],[Sales_Amount]]</f>
        <v>0.29999999999999932</v>
      </c>
      <c r="P635">
        <f>Supermarket_Sales_Case_Study[[#This Row],[Quantity]]*Supermarket_Sales_Case_Study[[#This Row],[Sales_Amount]]</f>
        <v>1725.9087111315239</v>
      </c>
    </row>
    <row r="636" spans="1:16" x14ac:dyDescent="0.3">
      <c r="A636" t="s">
        <v>666</v>
      </c>
      <c r="B636" t="s">
        <v>39</v>
      </c>
      <c r="C636" t="s">
        <v>30</v>
      </c>
      <c r="D636">
        <v>1599</v>
      </c>
      <c r="E636" t="s">
        <v>16</v>
      </c>
      <c r="F636" t="s">
        <v>22</v>
      </c>
      <c r="G636" t="s">
        <v>31</v>
      </c>
      <c r="H636" s="1">
        <v>45292</v>
      </c>
      <c r="I636">
        <v>221.54449325118199</v>
      </c>
      <c r="J636">
        <v>2</v>
      </c>
      <c r="K636">
        <v>443.08898650236398</v>
      </c>
      <c r="L636">
        <v>132.92669595070899</v>
      </c>
      <c r="M636" t="s">
        <v>24</v>
      </c>
      <c r="N636">
        <f>Supermarket_Sales_Case_Study[[#This Row],[Sales_Amount]]-Supermarket_Sales_Case_Study[[#This Row],[Profit]]</f>
        <v>310.16229055165502</v>
      </c>
      <c r="O636" s="2">
        <f>(Supermarket_Sales_Case_Study[[#This Row],[Sales_Amount]]-Supermarket_Sales_Case_Study[[#This Row],[Purchase]])/Supermarket_Sales_Case_Study[[#This Row],[Sales_Amount]]</f>
        <v>0.29999999999999949</v>
      </c>
      <c r="P636">
        <f>Supermarket_Sales_Case_Study[[#This Row],[Quantity]]*Supermarket_Sales_Case_Study[[#This Row],[Sales_Amount]]</f>
        <v>886.17797300472796</v>
      </c>
    </row>
    <row r="637" spans="1:16" x14ac:dyDescent="0.3">
      <c r="A637" t="s">
        <v>667</v>
      </c>
      <c r="B637" t="s">
        <v>21</v>
      </c>
      <c r="C637" t="s">
        <v>30</v>
      </c>
      <c r="D637">
        <v>1513</v>
      </c>
      <c r="E637" t="s">
        <v>26</v>
      </c>
      <c r="F637" t="s">
        <v>17</v>
      </c>
      <c r="G637" t="s">
        <v>18</v>
      </c>
      <c r="H637" s="1">
        <v>45362</v>
      </c>
      <c r="I637">
        <v>176.23472639038101</v>
      </c>
      <c r="J637">
        <v>2</v>
      </c>
      <c r="K637">
        <v>352.46945278076299</v>
      </c>
      <c r="L637">
        <v>105.74083583422799</v>
      </c>
      <c r="M637" t="s">
        <v>19</v>
      </c>
      <c r="N637">
        <f>Supermarket_Sales_Case_Study[[#This Row],[Sales_Amount]]-Supermarket_Sales_Case_Study[[#This Row],[Profit]]</f>
        <v>246.728616946535</v>
      </c>
      <c r="O637" s="2">
        <f>(Supermarket_Sales_Case_Study[[#This Row],[Sales_Amount]]-Supermarket_Sales_Case_Study[[#This Row],[Purchase]])/Supermarket_Sales_Case_Study[[#This Row],[Sales_Amount]]</f>
        <v>0.29999999999999744</v>
      </c>
      <c r="P637">
        <f>Supermarket_Sales_Case_Study[[#This Row],[Quantity]]*Supermarket_Sales_Case_Study[[#This Row],[Sales_Amount]]</f>
        <v>704.93890556152598</v>
      </c>
    </row>
    <row r="638" spans="1:16" x14ac:dyDescent="0.3">
      <c r="A638" t="s">
        <v>668</v>
      </c>
      <c r="B638" t="s">
        <v>21</v>
      </c>
      <c r="C638" t="s">
        <v>15</v>
      </c>
      <c r="D638">
        <v>1083</v>
      </c>
      <c r="E638" t="s">
        <v>16</v>
      </c>
      <c r="F638" t="s">
        <v>22</v>
      </c>
      <c r="G638" t="s">
        <v>31</v>
      </c>
      <c r="H638" s="1">
        <v>45349</v>
      </c>
      <c r="I638">
        <v>107.918297579778</v>
      </c>
      <c r="J638">
        <v>4</v>
      </c>
      <c r="K638">
        <v>431.673190319112</v>
      </c>
      <c r="L638">
        <v>129.50195709573299</v>
      </c>
      <c r="M638" t="s">
        <v>24</v>
      </c>
      <c r="N638">
        <f>Supermarket_Sales_Case_Study[[#This Row],[Sales_Amount]]-Supermarket_Sales_Case_Study[[#This Row],[Profit]]</f>
        <v>302.17123322337898</v>
      </c>
      <c r="O638" s="2">
        <f>(Supermarket_Sales_Case_Study[[#This Row],[Sales_Amount]]-Supermarket_Sales_Case_Study[[#This Row],[Purchase]])/Supermarket_Sales_Case_Study[[#This Row],[Sales_Amount]]</f>
        <v>0.29999999999999866</v>
      </c>
      <c r="P638">
        <f>Supermarket_Sales_Case_Study[[#This Row],[Quantity]]*Supermarket_Sales_Case_Study[[#This Row],[Sales_Amount]]</f>
        <v>1726.692761276448</v>
      </c>
    </row>
    <row r="639" spans="1:16" x14ac:dyDescent="0.3">
      <c r="A639" t="s">
        <v>669</v>
      </c>
      <c r="B639" t="s">
        <v>21</v>
      </c>
      <c r="C639" t="s">
        <v>36</v>
      </c>
      <c r="D639">
        <v>1993</v>
      </c>
      <c r="E639" t="s">
        <v>16</v>
      </c>
      <c r="F639" t="s">
        <v>22</v>
      </c>
      <c r="G639" t="s">
        <v>18</v>
      </c>
      <c r="H639" s="1">
        <v>45312</v>
      </c>
      <c r="I639">
        <v>296.67127791867898</v>
      </c>
      <c r="J639">
        <v>9</v>
      </c>
      <c r="K639">
        <v>2670.0415012681101</v>
      </c>
      <c r="L639">
        <v>801.01245038043396</v>
      </c>
      <c r="M639" t="s">
        <v>19</v>
      </c>
      <c r="N639">
        <f>Supermarket_Sales_Case_Study[[#This Row],[Sales_Amount]]-Supermarket_Sales_Case_Study[[#This Row],[Profit]]</f>
        <v>1869.029050887676</v>
      </c>
      <c r="O639" s="2">
        <f>(Supermarket_Sales_Case_Study[[#This Row],[Sales_Amount]]-Supermarket_Sales_Case_Study[[#This Row],[Purchase]])/Supermarket_Sales_Case_Study[[#This Row],[Sales_Amount]]</f>
        <v>0.30000000000000038</v>
      </c>
      <c r="P639">
        <f>Supermarket_Sales_Case_Study[[#This Row],[Quantity]]*Supermarket_Sales_Case_Study[[#This Row],[Sales_Amount]]</f>
        <v>24030.373511412992</v>
      </c>
    </row>
    <row r="640" spans="1:16" x14ac:dyDescent="0.3">
      <c r="A640" t="s">
        <v>670</v>
      </c>
      <c r="B640" t="s">
        <v>39</v>
      </c>
      <c r="C640" t="s">
        <v>15</v>
      </c>
      <c r="D640">
        <v>2066</v>
      </c>
      <c r="E640" t="s">
        <v>16</v>
      </c>
      <c r="F640" t="s">
        <v>17</v>
      </c>
      <c r="G640" t="s">
        <v>33</v>
      </c>
      <c r="H640" s="1">
        <v>45371</v>
      </c>
      <c r="I640">
        <v>17.318830295996602</v>
      </c>
      <c r="J640">
        <v>8</v>
      </c>
      <c r="K640">
        <v>138.55064236797199</v>
      </c>
      <c r="L640">
        <v>41.565192710391798</v>
      </c>
      <c r="M640" t="s">
        <v>19</v>
      </c>
      <c r="N640">
        <f>Supermarket_Sales_Case_Study[[#This Row],[Sales_Amount]]-Supermarket_Sales_Case_Study[[#This Row],[Profit]]</f>
        <v>96.98544965758019</v>
      </c>
      <c r="O640" s="2">
        <f>(Supermarket_Sales_Case_Study[[#This Row],[Sales_Amount]]-Supermarket_Sales_Case_Study[[#This Row],[Purchase]])/Supermarket_Sales_Case_Study[[#This Row],[Sales_Amount]]</f>
        <v>0.30000000000000143</v>
      </c>
      <c r="P640">
        <f>Supermarket_Sales_Case_Study[[#This Row],[Quantity]]*Supermarket_Sales_Case_Study[[#This Row],[Sales_Amount]]</f>
        <v>1108.4051389437759</v>
      </c>
    </row>
    <row r="641" spans="1:16" x14ac:dyDescent="0.3">
      <c r="A641" t="s">
        <v>671</v>
      </c>
      <c r="B641" t="s">
        <v>14</v>
      </c>
      <c r="C641" t="s">
        <v>15</v>
      </c>
      <c r="D641">
        <v>1838</v>
      </c>
      <c r="E641" t="s">
        <v>16</v>
      </c>
      <c r="F641" t="s">
        <v>17</v>
      </c>
      <c r="G641" t="s">
        <v>28</v>
      </c>
      <c r="H641" s="1">
        <v>45347</v>
      </c>
      <c r="I641">
        <v>83.267348880173103</v>
      </c>
      <c r="J641">
        <v>3</v>
      </c>
      <c r="K641">
        <v>249.80204664051899</v>
      </c>
      <c r="L641">
        <v>74.940613992155804</v>
      </c>
      <c r="M641" t="s">
        <v>24</v>
      </c>
      <c r="N641">
        <f>Supermarket_Sales_Case_Study[[#This Row],[Sales_Amount]]-Supermarket_Sales_Case_Study[[#This Row],[Profit]]</f>
        <v>174.86143264836318</v>
      </c>
      <c r="O641" s="2">
        <f>(Supermarket_Sales_Case_Study[[#This Row],[Sales_Amount]]-Supermarket_Sales_Case_Study[[#This Row],[Purchase]])/Supermarket_Sales_Case_Study[[#This Row],[Sales_Amount]]</f>
        <v>0.30000000000000049</v>
      </c>
      <c r="P641">
        <f>Supermarket_Sales_Case_Study[[#This Row],[Quantity]]*Supermarket_Sales_Case_Study[[#This Row],[Sales_Amount]]</f>
        <v>749.40613992155704</v>
      </c>
    </row>
    <row r="642" spans="1:16" x14ac:dyDescent="0.3">
      <c r="A642" t="s">
        <v>672</v>
      </c>
      <c r="B642" t="s">
        <v>21</v>
      </c>
      <c r="C642" t="s">
        <v>36</v>
      </c>
      <c r="D642">
        <v>1605</v>
      </c>
      <c r="E642" t="s">
        <v>16</v>
      </c>
      <c r="F642" t="s">
        <v>22</v>
      </c>
      <c r="G642" t="s">
        <v>33</v>
      </c>
      <c r="H642" s="1">
        <v>45378</v>
      </c>
      <c r="I642">
        <v>160.821477722233</v>
      </c>
      <c r="J642">
        <v>9</v>
      </c>
      <c r="K642">
        <v>1447.3932995001001</v>
      </c>
      <c r="L642">
        <v>434.21798985002999</v>
      </c>
      <c r="M642" t="s">
        <v>34</v>
      </c>
      <c r="N642">
        <f>Supermarket_Sales_Case_Study[[#This Row],[Sales_Amount]]-Supermarket_Sales_Case_Study[[#This Row],[Profit]]</f>
        <v>1013.1753096500701</v>
      </c>
      <c r="O642" s="2">
        <f>(Supermarket_Sales_Case_Study[[#This Row],[Sales_Amount]]-Supermarket_Sales_Case_Study[[#This Row],[Purchase]])/Supermarket_Sales_Case_Study[[#This Row],[Sales_Amount]]</f>
        <v>0.3</v>
      </c>
      <c r="P642">
        <f>Supermarket_Sales_Case_Study[[#This Row],[Quantity]]*Supermarket_Sales_Case_Study[[#This Row],[Sales_Amount]]</f>
        <v>13026.5396955009</v>
      </c>
    </row>
    <row r="643" spans="1:16" x14ac:dyDescent="0.3">
      <c r="A643" t="s">
        <v>673</v>
      </c>
      <c r="B643" t="s">
        <v>21</v>
      </c>
      <c r="C643" t="s">
        <v>15</v>
      </c>
      <c r="D643">
        <v>1809</v>
      </c>
      <c r="E643" t="s">
        <v>26</v>
      </c>
      <c r="F643" t="s">
        <v>17</v>
      </c>
      <c r="G643" t="s">
        <v>33</v>
      </c>
      <c r="H643" s="1">
        <v>45311</v>
      </c>
      <c r="I643">
        <v>161.36637100878301</v>
      </c>
      <c r="J643">
        <v>5</v>
      </c>
      <c r="K643">
        <v>806.83185504391702</v>
      </c>
      <c r="L643">
        <v>242.04955651317499</v>
      </c>
      <c r="M643" t="s">
        <v>19</v>
      </c>
      <c r="N643">
        <f>Supermarket_Sales_Case_Study[[#This Row],[Sales_Amount]]-Supermarket_Sales_Case_Study[[#This Row],[Profit]]</f>
        <v>564.78229853074208</v>
      </c>
      <c r="O643" s="2">
        <f>(Supermarket_Sales_Case_Study[[#This Row],[Sales_Amount]]-Supermarket_Sales_Case_Study[[#This Row],[Purchase]])/Supermarket_Sales_Case_Study[[#This Row],[Sales_Amount]]</f>
        <v>0.29999999999999977</v>
      </c>
      <c r="P643">
        <f>Supermarket_Sales_Case_Study[[#This Row],[Quantity]]*Supermarket_Sales_Case_Study[[#This Row],[Sales_Amount]]</f>
        <v>4034.1592752195852</v>
      </c>
    </row>
    <row r="644" spans="1:16" x14ac:dyDescent="0.3">
      <c r="A644" t="s">
        <v>674</v>
      </c>
      <c r="B644" t="s">
        <v>39</v>
      </c>
      <c r="C644" t="s">
        <v>36</v>
      </c>
      <c r="D644">
        <v>1132</v>
      </c>
      <c r="E644" t="s">
        <v>16</v>
      </c>
      <c r="F644" t="s">
        <v>22</v>
      </c>
      <c r="G644" t="s">
        <v>28</v>
      </c>
      <c r="H644" s="1">
        <v>45345</v>
      </c>
      <c r="I644">
        <v>180.790591734213</v>
      </c>
      <c r="J644">
        <v>3</v>
      </c>
      <c r="K644">
        <v>542.37177520264004</v>
      </c>
      <c r="L644">
        <v>162.71153256079199</v>
      </c>
      <c r="M644" t="s">
        <v>24</v>
      </c>
      <c r="N644">
        <f>Supermarket_Sales_Case_Study[[#This Row],[Sales_Amount]]-Supermarket_Sales_Case_Study[[#This Row],[Profit]]</f>
        <v>379.66024264184807</v>
      </c>
      <c r="O644" s="2">
        <f>(Supermarket_Sales_Case_Study[[#This Row],[Sales_Amount]]-Supermarket_Sales_Case_Study[[#This Row],[Purchase]])/Supermarket_Sales_Case_Study[[#This Row],[Sales_Amount]]</f>
        <v>0.29999999999999993</v>
      </c>
      <c r="P644">
        <f>Supermarket_Sales_Case_Study[[#This Row],[Quantity]]*Supermarket_Sales_Case_Study[[#This Row],[Sales_Amount]]</f>
        <v>1627.1153256079201</v>
      </c>
    </row>
    <row r="645" spans="1:16" x14ac:dyDescent="0.3">
      <c r="A645" t="s">
        <v>675</v>
      </c>
      <c r="B645" t="s">
        <v>21</v>
      </c>
      <c r="C645" t="s">
        <v>30</v>
      </c>
      <c r="D645">
        <v>2418</v>
      </c>
      <c r="E645" t="s">
        <v>26</v>
      </c>
      <c r="F645" t="s">
        <v>22</v>
      </c>
      <c r="G645" t="s">
        <v>28</v>
      </c>
      <c r="H645" s="1">
        <v>45316</v>
      </c>
      <c r="I645">
        <v>227.986089886646</v>
      </c>
      <c r="J645">
        <v>5</v>
      </c>
      <c r="K645">
        <v>1139.93044943323</v>
      </c>
      <c r="L645">
        <v>341.97913482996898</v>
      </c>
      <c r="M645" t="s">
        <v>19</v>
      </c>
      <c r="N645">
        <f>Supermarket_Sales_Case_Study[[#This Row],[Sales_Amount]]-Supermarket_Sales_Case_Study[[#This Row],[Profit]]</f>
        <v>797.95131460326104</v>
      </c>
      <c r="O645" s="2">
        <f>(Supermarket_Sales_Case_Study[[#This Row],[Sales_Amount]]-Supermarket_Sales_Case_Study[[#This Row],[Purchase]])/Supermarket_Sales_Case_Study[[#This Row],[Sales_Amount]]</f>
        <v>0.3</v>
      </c>
      <c r="P645">
        <f>Supermarket_Sales_Case_Study[[#This Row],[Quantity]]*Supermarket_Sales_Case_Study[[#This Row],[Sales_Amount]]</f>
        <v>5699.6522471661501</v>
      </c>
    </row>
    <row r="646" spans="1:16" x14ac:dyDescent="0.3">
      <c r="A646" t="s">
        <v>676</v>
      </c>
      <c r="B646" t="s">
        <v>14</v>
      </c>
      <c r="C646" t="s">
        <v>36</v>
      </c>
      <c r="D646">
        <v>2088</v>
      </c>
      <c r="E646" t="s">
        <v>26</v>
      </c>
      <c r="F646" t="s">
        <v>17</v>
      </c>
      <c r="G646" t="s">
        <v>23</v>
      </c>
      <c r="H646" s="1">
        <v>45319</v>
      </c>
      <c r="I646">
        <v>190.808570850595</v>
      </c>
      <c r="J646">
        <v>4</v>
      </c>
      <c r="K646">
        <v>763.23428340238297</v>
      </c>
      <c r="L646">
        <v>228.97028502071501</v>
      </c>
      <c r="M646" t="s">
        <v>34</v>
      </c>
      <c r="N646">
        <f>Supermarket_Sales_Case_Study[[#This Row],[Sales_Amount]]-Supermarket_Sales_Case_Study[[#This Row],[Profit]]</f>
        <v>534.26399838166799</v>
      </c>
      <c r="O646" s="2">
        <f>(Supermarket_Sales_Case_Study[[#This Row],[Sales_Amount]]-Supermarket_Sales_Case_Study[[#This Row],[Purchase]])/Supermarket_Sales_Case_Study[[#This Row],[Sales_Amount]]</f>
        <v>0.3000000000000001</v>
      </c>
      <c r="P646">
        <f>Supermarket_Sales_Case_Study[[#This Row],[Quantity]]*Supermarket_Sales_Case_Study[[#This Row],[Sales_Amount]]</f>
        <v>3052.9371336095319</v>
      </c>
    </row>
    <row r="647" spans="1:16" x14ac:dyDescent="0.3">
      <c r="A647" t="s">
        <v>677</v>
      </c>
      <c r="B647" t="s">
        <v>14</v>
      </c>
      <c r="C647" t="s">
        <v>30</v>
      </c>
      <c r="D647">
        <v>1289</v>
      </c>
      <c r="E647" t="s">
        <v>16</v>
      </c>
      <c r="F647" t="s">
        <v>17</v>
      </c>
      <c r="G647" t="s">
        <v>23</v>
      </c>
      <c r="H647" s="1">
        <v>45296</v>
      </c>
      <c r="I647">
        <v>184.08162355312999</v>
      </c>
      <c r="J647">
        <v>8</v>
      </c>
      <c r="K647">
        <v>1472.6529884250399</v>
      </c>
      <c r="L647">
        <v>441.79589652751298</v>
      </c>
      <c r="M647" t="s">
        <v>34</v>
      </c>
      <c r="N647">
        <f>Supermarket_Sales_Case_Study[[#This Row],[Sales_Amount]]-Supermarket_Sales_Case_Study[[#This Row],[Profit]]</f>
        <v>1030.857091897527</v>
      </c>
      <c r="O647" s="2">
        <f>(Supermarket_Sales_Case_Study[[#This Row],[Sales_Amount]]-Supermarket_Sales_Case_Study[[#This Row],[Purchase]])/Supermarket_Sales_Case_Study[[#This Row],[Sales_Amount]]</f>
        <v>0.30000000000000066</v>
      </c>
      <c r="P647">
        <f>Supermarket_Sales_Case_Study[[#This Row],[Quantity]]*Supermarket_Sales_Case_Study[[#This Row],[Sales_Amount]]</f>
        <v>11781.223907400319</v>
      </c>
    </row>
    <row r="648" spans="1:16" x14ac:dyDescent="0.3">
      <c r="A648" t="s">
        <v>678</v>
      </c>
      <c r="B648" t="s">
        <v>21</v>
      </c>
      <c r="C648" t="s">
        <v>15</v>
      </c>
      <c r="D648">
        <v>1375</v>
      </c>
      <c r="E648" t="s">
        <v>16</v>
      </c>
      <c r="F648" t="s">
        <v>22</v>
      </c>
      <c r="G648" t="s">
        <v>33</v>
      </c>
      <c r="H648" s="1">
        <v>45312</v>
      </c>
      <c r="I648">
        <v>25.519194244782501</v>
      </c>
      <c r="J648">
        <v>5</v>
      </c>
      <c r="K648">
        <v>127.595971223912</v>
      </c>
      <c r="L648">
        <v>38.278791367173802</v>
      </c>
      <c r="M648" t="s">
        <v>24</v>
      </c>
      <c r="N648">
        <f>Supermarket_Sales_Case_Study[[#This Row],[Sales_Amount]]-Supermarket_Sales_Case_Study[[#This Row],[Profit]]</f>
        <v>89.317179856738193</v>
      </c>
      <c r="O648" s="2">
        <f>(Supermarket_Sales_Case_Study[[#This Row],[Sales_Amount]]-Supermarket_Sales_Case_Study[[#This Row],[Purchase]])/Supermarket_Sales_Case_Study[[#This Row],[Sales_Amount]]</f>
        <v>0.30000000000000165</v>
      </c>
      <c r="P648">
        <f>Supermarket_Sales_Case_Study[[#This Row],[Quantity]]*Supermarket_Sales_Case_Study[[#This Row],[Sales_Amount]]</f>
        <v>637.97985611956005</v>
      </c>
    </row>
    <row r="649" spans="1:16" x14ac:dyDescent="0.3">
      <c r="A649" t="s">
        <v>679</v>
      </c>
      <c r="B649" t="s">
        <v>21</v>
      </c>
      <c r="C649" t="s">
        <v>15</v>
      </c>
      <c r="D649">
        <v>1768</v>
      </c>
      <c r="E649" t="s">
        <v>16</v>
      </c>
      <c r="F649" t="s">
        <v>22</v>
      </c>
      <c r="G649" t="s">
        <v>33</v>
      </c>
      <c r="H649" s="1">
        <v>45309</v>
      </c>
      <c r="I649">
        <v>119.19378345889599</v>
      </c>
      <c r="J649">
        <v>8</v>
      </c>
      <c r="K649">
        <v>953.55026767117204</v>
      </c>
      <c r="L649">
        <v>286.06508030135097</v>
      </c>
      <c r="M649" t="s">
        <v>19</v>
      </c>
      <c r="N649">
        <f>Supermarket_Sales_Case_Study[[#This Row],[Sales_Amount]]-Supermarket_Sales_Case_Study[[#This Row],[Profit]]</f>
        <v>667.48518736982101</v>
      </c>
      <c r="O649" s="2">
        <f>(Supermarket_Sales_Case_Study[[#This Row],[Sales_Amount]]-Supermarket_Sales_Case_Study[[#This Row],[Purchase]])/Supermarket_Sales_Case_Study[[#This Row],[Sales_Amount]]</f>
        <v>0.29999999999999938</v>
      </c>
      <c r="P649">
        <f>Supermarket_Sales_Case_Study[[#This Row],[Quantity]]*Supermarket_Sales_Case_Study[[#This Row],[Sales_Amount]]</f>
        <v>7628.4021413693763</v>
      </c>
    </row>
    <row r="650" spans="1:16" x14ac:dyDescent="0.3">
      <c r="A650" t="s">
        <v>680</v>
      </c>
      <c r="B650" t="s">
        <v>39</v>
      </c>
      <c r="C650" t="s">
        <v>30</v>
      </c>
      <c r="D650">
        <v>1466</v>
      </c>
      <c r="E650" t="s">
        <v>16</v>
      </c>
      <c r="F650" t="s">
        <v>22</v>
      </c>
      <c r="G650" t="s">
        <v>31</v>
      </c>
      <c r="H650" s="1">
        <v>45338</v>
      </c>
      <c r="I650">
        <v>77.296164513335199</v>
      </c>
      <c r="J650">
        <v>9</v>
      </c>
      <c r="K650">
        <v>695.66548062001698</v>
      </c>
      <c r="L650">
        <v>208.699644186005</v>
      </c>
      <c r="M650" t="s">
        <v>19</v>
      </c>
      <c r="N650">
        <f>Supermarket_Sales_Case_Study[[#This Row],[Sales_Amount]]-Supermarket_Sales_Case_Study[[#This Row],[Profit]]</f>
        <v>486.96583643401198</v>
      </c>
      <c r="O650" s="2">
        <f>(Supermarket_Sales_Case_Study[[#This Row],[Sales_Amount]]-Supermarket_Sales_Case_Study[[#This Row],[Purchase]])/Supermarket_Sales_Case_Study[[#This Row],[Sales_Amount]]</f>
        <v>0.29999999999999988</v>
      </c>
      <c r="P650">
        <f>Supermarket_Sales_Case_Study[[#This Row],[Quantity]]*Supermarket_Sales_Case_Study[[#This Row],[Sales_Amount]]</f>
        <v>6260.9893255801526</v>
      </c>
    </row>
    <row r="651" spans="1:16" x14ac:dyDescent="0.3">
      <c r="A651" t="s">
        <v>681</v>
      </c>
      <c r="B651" t="s">
        <v>14</v>
      </c>
      <c r="C651" t="s">
        <v>15</v>
      </c>
      <c r="D651">
        <v>2236</v>
      </c>
      <c r="E651" t="s">
        <v>16</v>
      </c>
      <c r="F651" t="s">
        <v>17</v>
      </c>
      <c r="G651" t="s">
        <v>31</v>
      </c>
      <c r="H651" s="1">
        <v>45361</v>
      </c>
      <c r="I651">
        <v>86.957332364572807</v>
      </c>
      <c r="J651">
        <v>4</v>
      </c>
      <c r="K651">
        <v>347.829329458291</v>
      </c>
      <c r="L651">
        <v>104.348798837487</v>
      </c>
      <c r="M651" t="s">
        <v>19</v>
      </c>
      <c r="N651">
        <f>Supermarket_Sales_Case_Study[[#This Row],[Sales_Amount]]-Supermarket_Sales_Case_Study[[#This Row],[Profit]]</f>
        <v>243.48053062080402</v>
      </c>
      <c r="O651" s="2">
        <f>(Supermarket_Sales_Case_Study[[#This Row],[Sales_Amount]]-Supermarket_Sales_Case_Study[[#This Row],[Purchase]])/Supermarket_Sales_Case_Study[[#This Row],[Sales_Amount]]</f>
        <v>0.2999999999999991</v>
      </c>
      <c r="P651">
        <f>Supermarket_Sales_Case_Study[[#This Row],[Quantity]]*Supermarket_Sales_Case_Study[[#This Row],[Sales_Amount]]</f>
        <v>1391.317317833164</v>
      </c>
    </row>
    <row r="652" spans="1:16" x14ac:dyDescent="0.3">
      <c r="A652" t="s">
        <v>682</v>
      </c>
      <c r="B652" t="s">
        <v>14</v>
      </c>
      <c r="C652" t="s">
        <v>36</v>
      </c>
      <c r="D652">
        <v>2171</v>
      </c>
      <c r="E652" t="s">
        <v>26</v>
      </c>
      <c r="F652" t="s">
        <v>22</v>
      </c>
      <c r="G652" t="s">
        <v>23</v>
      </c>
      <c r="H652" s="1">
        <v>45348</v>
      </c>
      <c r="I652">
        <v>170.75786755870001</v>
      </c>
      <c r="J652">
        <v>7</v>
      </c>
      <c r="K652">
        <v>1195.3050729109</v>
      </c>
      <c r="L652">
        <v>358.59152187326998</v>
      </c>
      <c r="M652" t="s">
        <v>19</v>
      </c>
      <c r="N652">
        <f>Supermarket_Sales_Case_Study[[#This Row],[Sales_Amount]]-Supermarket_Sales_Case_Study[[#This Row],[Profit]]</f>
        <v>836.71355103762994</v>
      </c>
      <c r="O652" s="2">
        <f>(Supermarket_Sales_Case_Study[[#This Row],[Sales_Amount]]-Supermarket_Sales_Case_Study[[#This Row],[Purchase]])/Supermarket_Sales_Case_Study[[#This Row],[Sales_Amount]]</f>
        <v>0.30000000000000004</v>
      </c>
      <c r="P652">
        <f>Supermarket_Sales_Case_Study[[#This Row],[Quantity]]*Supermarket_Sales_Case_Study[[#This Row],[Sales_Amount]]</f>
        <v>8367.1355103762999</v>
      </c>
    </row>
    <row r="653" spans="1:16" x14ac:dyDescent="0.3">
      <c r="A653" t="s">
        <v>683</v>
      </c>
      <c r="B653" t="s">
        <v>21</v>
      </c>
      <c r="C653" t="s">
        <v>30</v>
      </c>
      <c r="D653">
        <v>1470</v>
      </c>
      <c r="E653" t="s">
        <v>16</v>
      </c>
      <c r="F653" t="s">
        <v>22</v>
      </c>
      <c r="G653" t="s">
        <v>37</v>
      </c>
      <c r="H653" s="1">
        <v>45310</v>
      </c>
      <c r="I653">
        <v>67.856541329586406</v>
      </c>
      <c r="J653">
        <v>2</v>
      </c>
      <c r="K653">
        <v>135.71308265917199</v>
      </c>
      <c r="L653">
        <v>40.713924797751801</v>
      </c>
      <c r="M653" t="s">
        <v>24</v>
      </c>
      <c r="N653">
        <f>Supermarket_Sales_Case_Study[[#This Row],[Sales_Amount]]-Supermarket_Sales_Case_Study[[#This Row],[Profit]]</f>
        <v>94.999157861420187</v>
      </c>
      <c r="O653" s="2">
        <f>(Supermarket_Sales_Case_Study[[#This Row],[Sales_Amount]]-Supermarket_Sales_Case_Study[[#This Row],[Purchase]])/Supermarket_Sales_Case_Study[[#This Row],[Sales_Amount]]</f>
        <v>0.30000000000000149</v>
      </c>
      <c r="P653">
        <f>Supermarket_Sales_Case_Study[[#This Row],[Quantity]]*Supermarket_Sales_Case_Study[[#This Row],[Sales_Amount]]</f>
        <v>271.42616531834398</v>
      </c>
    </row>
    <row r="654" spans="1:16" x14ac:dyDescent="0.3">
      <c r="A654" t="s">
        <v>684</v>
      </c>
      <c r="B654" t="s">
        <v>39</v>
      </c>
      <c r="C654" t="s">
        <v>15</v>
      </c>
      <c r="D654">
        <v>1148</v>
      </c>
      <c r="E654" t="s">
        <v>16</v>
      </c>
      <c r="F654" t="s">
        <v>22</v>
      </c>
      <c r="G654" t="s">
        <v>37</v>
      </c>
      <c r="H654" s="1">
        <v>45356</v>
      </c>
      <c r="I654">
        <v>95.245239294900202</v>
      </c>
      <c r="J654">
        <v>6</v>
      </c>
      <c r="K654">
        <v>571.47143576940095</v>
      </c>
      <c r="L654">
        <v>171.44143073082</v>
      </c>
      <c r="M654" t="s">
        <v>34</v>
      </c>
      <c r="N654">
        <f>Supermarket_Sales_Case_Study[[#This Row],[Sales_Amount]]-Supermarket_Sales_Case_Study[[#This Row],[Profit]]</f>
        <v>400.03000503858095</v>
      </c>
      <c r="O654" s="2">
        <f>(Supermarket_Sales_Case_Study[[#This Row],[Sales_Amount]]-Supermarket_Sales_Case_Study[[#This Row],[Purchase]])/Supermarket_Sales_Case_Study[[#This Row],[Sales_Amount]]</f>
        <v>0.29999999999999949</v>
      </c>
      <c r="P654">
        <f>Supermarket_Sales_Case_Study[[#This Row],[Quantity]]*Supermarket_Sales_Case_Study[[#This Row],[Sales_Amount]]</f>
        <v>3428.8286146164055</v>
      </c>
    </row>
    <row r="655" spans="1:16" x14ac:dyDescent="0.3">
      <c r="A655" t="s">
        <v>685</v>
      </c>
      <c r="B655" t="s">
        <v>14</v>
      </c>
      <c r="C655" t="s">
        <v>30</v>
      </c>
      <c r="D655">
        <v>1087</v>
      </c>
      <c r="E655" t="s">
        <v>26</v>
      </c>
      <c r="F655" t="s">
        <v>22</v>
      </c>
      <c r="G655" t="s">
        <v>23</v>
      </c>
      <c r="H655" s="1">
        <v>45294</v>
      </c>
      <c r="I655">
        <v>78.754565470028595</v>
      </c>
      <c r="J655">
        <v>8</v>
      </c>
      <c r="K655">
        <v>630.03652376022899</v>
      </c>
      <c r="L655">
        <v>189.01095712806799</v>
      </c>
      <c r="M655" t="s">
        <v>24</v>
      </c>
      <c r="N655">
        <f>Supermarket_Sales_Case_Study[[#This Row],[Sales_Amount]]-Supermarket_Sales_Case_Study[[#This Row],[Profit]]</f>
        <v>441.02556663216103</v>
      </c>
      <c r="O655" s="2">
        <f>(Supermarket_Sales_Case_Study[[#This Row],[Sales_Amount]]-Supermarket_Sales_Case_Study[[#This Row],[Purchase]])/Supermarket_Sales_Case_Study[[#This Row],[Sales_Amount]]</f>
        <v>0.29999999999999882</v>
      </c>
      <c r="P655">
        <f>Supermarket_Sales_Case_Study[[#This Row],[Quantity]]*Supermarket_Sales_Case_Study[[#This Row],[Sales_Amount]]</f>
        <v>5040.2921900818319</v>
      </c>
    </row>
    <row r="656" spans="1:16" x14ac:dyDescent="0.3">
      <c r="A656" t="s">
        <v>686</v>
      </c>
      <c r="B656" t="s">
        <v>14</v>
      </c>
      <c r="C656" t="s">
        <v>36</v>
      </c>
      <c r="D656">
        <v>2347</v>
      </c>
      <c r="E656" t="s">
        <v>26</v>
      </c>
      <c r="F656" t="s">
        <v>22</v>
      </c>
      <c r="G656" t="s">
        <v>31</v>
      </c>
      <c r="H656" s="1">
        <v>45333</v>
      </c>
      <c r="I656">
        <v>285.06585353327603</v>
      </c>
      <c r="J656">
        <v>7</v>
      </c>
      <c r="K656">
        <v>1995.46097473293</v>
      </c>
      <c r="L656">
        <v>598.63829241988003</v>
      </c>
      <c r="M656" t="s">
        <v>19</v>
      </c>
      <c r="N656">
        <f>Supermarket_Sales_Case_Study[[#This Row],[Sales_Amount]]-Supermarket_Sales_Case_Study[[#This Row],[Profit]]</f>
        <v>1396.8226823130499</v>
      </c>
      <c r="O656" s="2">
        <f>(Supermarket_Sales_Case_Study[[#This Row],[Sales_Amount]]-Supermarket_Sales_Case_Study[[#This Row],[Purchase]])/Supermarket_Sales_Case_Study[[#This Row],[Sales_Amount]]</f>
        <v>0.30000000000000054</v>
      </c>
      <c r="P656">
        <f>Supermarket_Sales_Case_Study[[#This Row],[Quantity]]*Supermarket_Sales_Case_Study[[#This Row],[Sales_Amount]]</f>
        <v>13968.22682313051</v>
      </c>
    </row>
    <row r="657" spans="1:16" x14ac:dyDescent="0.3">
      <c r="A657" t="s">
        <v>687</v>
      </c>
      <c r="B657" t="s">
        <v>39</v>
      </c>
      <c r="C657" t="s">
        <v>36</v>
      </c>
      <c r="D657">
        <v>1395</v>
      </c>
      <c r="E657" t="s">
        <v>16</v>
      </c>
      <c r="F657" t="s">
        <v>17</v>
      </c>
      <c r="G657" t="s">
        <v>31</v>
      </c>
      <c r="H657" s="1">
        <v>45312</v>
      </c>
      <c r="I657">
        <v>283.95306232961701</v>
      </c>
      <c r="J657">
        <v>7</v>
      </c>
      <c r="K657">
        <v>1987.6714363073199</v>
      </c>
      <c r="L657">
        <v>596.30143089219598</v>
      </c>
      <c r="M657" t="s">
        <v>19</v>
      </c>
      <c r="N657">
        <f>Supermarket_Sales_Case_Study[[#This Row],[Sales_Amount]]-Supermarket_Sales_Case_Study[[#This Row],[Profit]]</f>
        <v>1391.3700054151241</v>
      </c>
      <c r="O657" s="2">
        <f>(Supermarket_Sales_Case_Study[[#This Row],[Sales_Amount]]-Supermarket_Sales_Case_Study[[#This Row],[Purchase]])/Supermarket_Sales_Case_Study[[#This Row],[Sales_Amount]]</f>
        <v>0.29999999999999993</v>
      </c>
      <c r="P657">
        <f>Supermarket_Sales_Case_Study[[#This Row],[Quantity]]*Supermarket_Sales_Case_Study[[#This Row],[Sales_Amount]]</f>
        <v>13913.700054151239</v>
      </c>
    </row>
    <row r="658" spans="1:16" x14ac:dyDescent="0.3">
      <c r="A658" t="s">
        <v>688</v>
      </c>
      <c r="B658" t="s">
        <v>39</v>
      </c>
      <c r="C658" t="s">
        <v>15</v>
      </c>
      <c r="D658">
        <v>1789</v>
      </c>
      <c r="E658" t="s">
        <v>26</v>
      </c>
      <c r="F658" t="s">
        <v>22</v>
      </c>
      <c r="G658" t="s">
        <v>37</v>
      </c>
      <c r="H658" s="1">
        <v>45331</v>
      </c>
      <c r="I658">
        <v>186.883051992855</v>
      </c>
      <c r="J658">
        <v>8</v>
      </c>
      <c r="K658">
        <v>1495.06441594284</v>
      </c>
      <c r="L658">
        <v>448.51932478285198</v>
      </c>
      <c r="M658" t="s">
        <v>34</v>
      </c>
      <c r="N658">
        <f>Supermarket_Sales_Case_Study[[#This Row],[Sales_Amount]]-Supermarket_Sales_Case_Study[[#This Row],[Profit]]</f>
        <v>1046.545091159988</v>
      </c>
      <c r="O658" s="2">
        <f>(Supermarket_Sales_Case_Study[[#This Row],[Sales_Amount]]-Supermarket_Sales_Case_Study[[#This Row],[Purchase]])/Supermarket_Sales_Case_Study[[#This Row],[Sales_Amount]]</f>
        <v>0.3</v>
      </c>
      <c r="P658">
        <f>Supermarket_Sales_Case_Study[[#This Row],[Quantity]]*Supermarket_Sales_Case_Study[[#This Row],[Sales_Amount]]</f>
        <v>11960.51532754272</v>
      </c>
    </row>
    <row r="659" spans="1:16" x14ac:dyDescent="0.3">
      <c r="A659" t="s">
        <v>689</v>
      </c>
      <c r="B659" t="s">
        <v>14</v>
      </c>
      <c r="C659" t="s">
        <v>36</v>
      </c>
      <c r="D659">
        <v>2427</v>
      </c>
      <c r="E659" t="s">
        <v>16</v>
      </c>
      <c r="F659" t="s">
        <v>22</v>
      </c>
      <c r="G659" t="s">
        <v>18</v>
      </c>
      <c r="H659" s="1">
        <v>45358</v>
      </c>
      <c r="I659">
        <v>278.111515932251</v>
      </c>
      <c r="J659">
        <v>7</v>
      </c>
      <c r="K659">
        <v>1946.7806115257499</v>
      </c>
      <c r="L659">
        <v>584.03418345772695</v>
      </c>
      <c r="M659" t="s">
        <v>19</v>
      </c>
      <c r="N659">
        <f>Supermarket_Sales_Case_Study[[#This Row],[Sales_Amount]]-Supermarket_Sales_Case_Study[[#This Row],[Profit]]</f>
        <v>1362.7464280680229</v>
      </c>
      <c r="O659" s="2">
        <f>(Supermarket_Sales_Case_Study[[#This Row],[Sales_Amount]]-Supermarket_Sales_Case_Study[[#This Row],[Purchase]])/Supermarket_Sales_Case_Study[[#This Row],[Sales_Amount]]</f>
        <v>0.3000000000000011</v>
      </c>
      <c r="P659">
        <f>Supermarket_Sales_Case_Study[[#This Row],[Quantity]]*Supermarket_Sales_Case_Study[[#This Row],[Sales_Amount]]</f>
        <v>13627.464280680249</v>
      </c>
    </row>
    <row r="660" spans="1:16" x14ac:dyDescent="0.3">
      <c r="A660" t="s">
        <v>690</v>
      </c>
      <c r="B660" t="s">
        <v>14</v>
      </c>
      <c r="C660" t="s">
        <v>30</v>
      </c>
      <c r="D660">
        <v>2105</v>
      </c>
      <c r="E660" t="s">
        <v>26</v>
      </c>
      <c r="F660" t="s">
        <v>22</v>
      </c>
      <c r="G660" t="s">
        <v>18</v>
      </c>
      <c r="H660" s="1">
        <v>45316</v>
      </c>
      <c r="I660">
        <v>237.885667185828</v>
      </c>
      <c r="J660">
        <v>5</v>
      </c>
      <c r="K660">
        <v>1189.4283359291401</v>
      </c>
      <c r="L660">
        <v>356.82850077874201</v>
      </c>
      <c r="M660" t="s">
        <v>24</v>
      </c>
      <c r="N660">
        <f>Supermarket_Sales_Case_Study[[#This Row],[Sales_Amount]]-Supermarket_Sales_Case_Study[[#This Row],[Profit]]</f>
        <v>832.59983515039812</v>
      </c>
      <c r="O660" s="2">
        <f>(Supermarket_Sales_Case_Study[[#This Row],[Sales_Amount]]-Supermarket_Sales_Case_Study[[#This Row],[Purchase]])/Supermarket_Sales_Case_Study[[#This Row],[Sales_Amount]]</f>
        <v>0.29999999999999993</v>
      </c>
      <c r="P660">
        <f>Supermarket_Sales_Case_Study[[#This Row],[Quantity]]*Supermarket_Sales_Case_Study[[#This Row],[Sales_Amount]]</f>
        <v>5947.1416796457006</v>
      </c>
    </row>
    <row r="661" spans="1:16" x14ac:dyDescent="0.3">
      <c r="A661" t="s">
        <v>691</v>
      </c>
      <c r="B661" t="s">
        <v>39</v>
      </c>
      <c r="C661" t="s">
        <v>36</v>
      </c>
      <c r="D661">
        <v>2309</v>
      </c>
      <c r="E661" t="s">
        <v>26</v>
      </c>
      <c r="F661" t="s">
        <v>22</v>
      </c>
      <c r="G661" t="s">
        <v>31</v>
      </c>
      <c r="H661" s="1">
        <v>45346</v>
      </c>
      <c r="I661">
        <v>181.08488601252401</v>
      </c>
      <c r="J661">
        <v>7</v>
      </c>
      <c r="K661">
        <v>1267.5942020876701</v>
      </c>
      <c r="L661">
        <v>380.27826062630101</v>
      </c>
      <c r="M661" t="s">
        <v>24</v>
      </c>
      <c r="N661">
        <f>Supermarket_Sales_Case_Study[[#This Row],[Sales_Amount]]-Supermarket_Sales_Case_Study[[#This Row],[Profit]]</f>
        <v>887.31594146136899</v>
      </c>
      <c r="O661" s="2">
        <f>(Supermarket_Sales_Case_Study[[#This Row],[Sales_Amount]]-Supermarket_Sales_Case_Study[[#This Row],[Purchase]])/Supermarket_Sales_Case_Study[[#This Row],[Sales_Amount]]</f>
        <v>0.30000000000000004</v>
      </c>
      <c r="P661">
        <f>Supermarket_Sales_Case_Study[[#This Row],[Quantity]]*Supermarket_Sales_Case_Study[[#This Row],[Sales_Amount]]</f>
        <v>8873.1594146136904</v>
      </c>
    </row>
    <row r="662" spans="1:16" x14ac:dyDescent="0.3">
      <c r="A662" t="s">
        <v>692</v>
      </c>
      <c r="B662" t="s">
        <v>14</v>
      </c>
      <c r="C662" t="s">
        <v>30</v>
      </c>
      <c r="D662">
        <v>2405</v>
      </c>
      <c r="E662" t="s">
        <v>16</v>
      </c>
      <c r="F662" t="s">
        <v>17</v>
      </c>
      <c r="G662" t="s">
        <v>18</v>
      </c>
      <c r="H662" s="1">
        <v>45375</v>
      </c>
      <c r="I662">
        <v>11.8662113340707</v>
      </c>
      <c r="J662">
        <v>3</v>
      </c>
      <c r="K662">
        <v>35.598634002212201</v>
      </c>
      <c r="L662">
        <v>10.679590200663601</v>
      </c>
      <c r="M662" t="s">
        <v>34</v>
      </c>
      <c r="N662">
        <f>Supermarket_Sales_Case_Study[[#This Row],[Sales_Amount]]-Supermarket_Sales_Case_Study[[#This Row],[Profit]]</f>
        <v>24.9190438015486</v>
      </c>
      <c r="O662" s="2">
        <f>(Supermarket_Sales_Case_Study[[#This Row],[Sales_Amount]]-Supermarket_Sales_Case_Study[[#This Row],[Purchase]])/Supermarket_Sales_Case_Study[[#This Row],[Sales_Amount]]</f>
        <v>0.29999999999999832</v>
      </c>
      <c r="P662">
        <f>Supermarket_Sales_Case_Study[[#This Row],[Quantity]]*Supermarket_Sales_Case_Study[[#This Row],[Sales_Amount]]</f>
        <v>106.7959020066366</v>
      </c>
    </row>
    <row r="663" spans="1:16" x14ac:dyDescent="0.3">
      <c r="A663" t="s">
        <v>693</v>
      </c>
      <c r="B663" t="s">
        <v>21</v>
      </c>
      <c r="C663" t="s">
        <v>30</v>
      </c>
      <c r="D663">
        <v>1864</v>
      </c>
      <c r="E663" t="s">
        <v>26</v>
      </c>
      <c r="F663" t="s">
        <v>17</v>
      </c>
      <c r="G663" t="s">
        <v>28</v>
      </c>
      <c r="H663" s="1">
        <v>45343</v>
      </c>
      <c r="I663">
        <v>234.02972296302701</v>
      </c>
      <c r="J663">
        <v>5</v>
      </c>
      <c r="K663">
        <v>1170.14861481513</v>
      </c>
      <c r="L663">
        <v>351.04458444454002</v>
      </c>
      <c r="M663" t="s">
        <v>24</v>
      </c>
      <c r="N663">
        <f>Supermarket_Sales_Case_Study[[#This Row],[Sales_Amount]]-Supermarket_Sales_Case_Study[[#This Row],[Profit]]</f>
        <v>819.10403037058995</v>
      </c>
      <c r="O663" s="2">
        <f>(Supermarket_Sales_Case_Study[[#This Row],[Sales_Amount]]-Supermarket_Sales_Case_Study[[#This Row],[Purchase]])/Supermarket_Sales_Case_Study[[#This Row],[Sales_Amount]]</f>
        <v>0.30000000000000093</v>
      </c>
      <c r="P663">
        <f>Supermarket_Sales_Case_Study[[#This Row],[Quantity]]*Supermarket_Sales_Case_Study[[#This Row],[Sales_Amount]]</f>
        <v>5850.7430740756499</v>
      </c>
    </row>
    <row r="664" spans="1:16" x14ac:dyDescent="0.3">
      <c r="A664" t="s">
        <v>694</v>
      </c>
      <c r="B664" t="s">
        <v>21</v>
      </c>
      <c r="C664" t="s">
        <v>36</v>
      </c>
      <c r="D664">
        <v>2293</v>
      </c>
      <c r="E664" t="s">
        <v>26</v>
      </c>
      <c r="F664" t="s">
        <v>17</v>
      </c>
      <c r="G664" t="s">
        <v>23</v>
      </c>
      <c r="H664" s="1">
        <v>45335</v>
      </c>
      <c r="I664">
        <v>213.721619060655</v>
      </c>
      <c r="J664">
        <v>7</v>
      </c>
      <c r="K664">
        <v>1496.05133342459</v>
      </c>
      <c r="L664">
        <v>448.815400027377</v>
      </c>
      <c r="M664" t="s">
        <v>24</v>
      </c>
      <c r="N664">
        <f>Supermarket_Sales_Case_Study[[#This Row],[Sales_Amount]]-Supermarket_Sales_Case_Study[[#This Row],[Profit]]</f>
        <v>1047.2359333972131</v>
      </c>
      <c r="O664" s="2">
        <f>(Supermarket_Sales_Case_Study[[#This Row],[Sales_Amount]]-Supermarket_Sales_Case_Study[[#This Row],[Purchase]])/Supermarket_Sales_Case_Study[[#This Row],[Sales_Amount]]</f>
        <v>0.29999999999999993</v>
      </c>
      <c r="P664">
        <f>Supermarket_Sales_Case_Study[[#This Row],[Quantity]]*Supermarket_Sales_Case_Study[[#This Row],[Sales_Amount]]</f>
        <v>10472.35933397213</v>
      </c>
    </row>
    <row r="665" spans="1:16" x14ac:dyDescent="0.3">
      <c r="A665" t="s">
        <v>695</v>
      </c>
      <c r="B665" t="s">
        <v>39</v>
      </c>
      <c r="C665" t="s">
        <v>15</v>
      </c>
      <c r="D665">
        <v>2315</v>
      </c>
      <c r="E665" t="s">
        <v>26</v>
      </c>
      <c r="F665" t="s">
        <v>22</v>
      </c>
      <c r="G665" t="s">
        <v>23</v>
      </c>
      <c r="H665" s="1">
        <v>45376</v>
      </c>
      <c r="I665">
        <v>188.42355945189999</v>
      </c>
      <c r="J665">
        <v>9</v>
      </c>
      <c r="K665">
        <v>1695.8120350670999</v>
      </c>
      <c r="L665">
        <v>508.74361052013001</v>
      </c>
      <c r="M665" t="s">
        <v>24</v>
      </c>
      <c r="N665">
        <f>Supermarket_Sales_Case_Study[[#This Row],[Sales_Amount]]-Supermarket_Sales_Case_Study[[#This Row],[Profit]]</f>
        <v>1187.0684245469699</v>
      </c>
      <c r="O665" s="2">
        <f>(Supermarket_Sales_Case_Study[[#This Row],[Sales_Amount]]-Supermarket_Sales_Case_Study[[#This Row],[Purchase]])/Supermarket_Sales_Case_Study[[#This Row],[Sales_Amount]]</f>
        <v>0.3</v>
      </c>
      <c r="P665">
        <f>Supermarket_Sales_Case_Study[[#This Row],[Quantity]]*Supermarket_Sales_Case_Study[[#This Row],[Sales_Amount]]</f>
        <v>15262.308315603899</v>
      </c>
    </row>
    <row r="666" spans="1:16" x14ac:dyDescent="0.3">
      <c r="A666" t="s">
        <v>696</v>
      </c>
      <c r="B666" t="s">
        <v>39</v>
      </c>
      <c r="C666" t="s">
        <v>36</v>
      </c>
      <c r="D666">
        <v>2476</v>
      </c>
      <c r="E666" t="s">
        <v>26</v>
      </c>
      <c r="F666" t="s">
        <v>22</v>
      </c>
      <c r="G666" t="s">
        <v>31</v>
      </c>
      <c r="H666" s="1">
        <v>45347</v>
      </c>
      <c r="I666">
        <v>230.52305038791599</v>
      </c>
      <c r="J666">
        <v>2</v>
      </c>
      <c r="K666">
        <v>461.046100775833</v>
      </c>
      <c r="L666">
        <v>138.31383023275001</v>
      </c>
      <c r="M666" t="s">
        <v>24</v>
      </c>
      <c r="N666">
        <f>Supermarket_Sales_Case_Study[[#This Row],[Sales_Amount]]-Supermarket_Sales_Case_Study[[#This Row],[Profit]]</f>
        <v>322.73227054308302</v>
      </c>
      <c r="O666" s="2">
        <f>(Supermarket_Sales_Case_Study[[#This Row],[Sales_Amount]]-Supermarket_Sales_Case_Study[[#This Row],[Purchase]])/Supermarket_Sales_Case_Study[[#This Row],[Sales_Amount]]</f>
        <v>0.30000000000000016</v>
      </c>
      <c r="P666">
        <f>Supermarket_Sales_Case_Study[[#This Row],[Quantity]]*Supermarket_Sales_Case_Study[[#This Row],[Sales_Amount]]</f>
        <v>922.09220155166599</v>
      </c>
    </row>
    <row r="667" spans="1:16" x14ac:dyDescent="0.3">
      <c r="A667" t="s">
        <v>697</v>
      </c>
      <c r="B667" t="s">
        <v>39</v>
      </c>
      <c r="C667" t="s">
        <v>30</v>
      </c>
      <c r="D667">
        <v>1023</v>
      </c>
      <c r="E667" t="s">
        <v>26</v>
      </c>
      <c r="F667" t="s">
        <v>17</v>
      </c>
      <c r="G667" t="s">
        <v>33</v>
      </c>
      <c r="H667" s="1">
        <v>45346</v>
      </c>
      <c r="I667">
        <v>158.747427784682</v>
      </c>
      <c r="J667">
        <v>4</v>
      </c>
      <c r="K667">
        <v>634.98971113872801</v>
      </c>
      <c r="L667">
        <v>190.49691334161801</v>
      </c>
      <c r="M667" t="s">
        <v>19</v>
      </c>
      <c r="N667">
        <f>Supermarket_Sales_Case_Study[[#This Row],[Sales_Amount]]-Supermarket_Sales_Case_Study[[#This Row],[Profit]]</f>
        <v>444.49279779711003</v>
      </c>
      <c r="O667" s="2">
        <f>(Supermarket_Sales_Case_Study[[#This Row],[Sales_Amount]]-Supermarket_Sales_Case_Study[[#This Row],[Purchase]])/Supermarket_Sales_Case_Study[[#This Row],[Sales_Amount]]</f>
        <v>0.29999999999999932</v>
      </c>
      <c r="P667">
        <f>Supermarket_Sales_Case_Study[[#This Row],[Quantity]]*Supermarket_Sales_Case_Study[[#This Row],[Sales_Amount]]</f>
        <v>2539.958844554912</v>
      </c>
    </row>
    <row r="668" spans="1:16" x14ac:dyDescent="0.3">
      <c r="A668" t="s">
        <v>698</v>
      </c>
      <c r="B668" t="s">
        <v>21</v>
      </c>
      <c r="C668" t="s">
        <v>30</v>
      </c>
      <c r="D668">
        <v>1955</v>
      </c>
      <c r="E668" t="s">
        <v>26</v>
      </c>
      <c r="F668" t="s">
        <v>17</v>
      </c>
      <c r="G668" t="s">
        <v>37</v>
      </c>
      <c r="H668" s="1">
        <v>45378</v>
      </c>
      <c r="I668">
        <v>214.184148683188</v>
      </c>
      <c r="J668">
        <v>7</v>
      </c>
      <c r="K668">
        <v>1499.2890407823099</v>
      </c>
      <c r="L668">
        <v>449.78671223469502</v>
      </c>
      <c r="M668" t="s">
        <v>24</v>
      </c>
      <c r="N668">
        <f>Supermarket_Sales_Case_Study[[#This Row],[Sales_Amount]]-Supermarket_Sales_Case_Study[[#This Row],[Profit]]</f>
        <v>1049.502328547615</v>
      </c>
      <c r="O668" s="2">
        <f>(Supermarket_Sales_Case_Study[[#This Row],[Sales_Amount]]-Supermarket_Sales_Case_Study[[#This Row],[Purchase]])/Supermarket_Sales_Case_Study[[#This Row],[Sales_Amount]]</f>
        <v>0.30000000000000132</v>
      </c>
      <c r="P668">
        <f>Supermarket_Sales_Case_Study[[#This Row],[Quantity]]*Supermarket_Sales_Case_Study[[#This Row],[Sales_Amount]]</f>
        <v>10495.023285476169</v>
      </c>
    </row>
    <row r="669" spans="1:16" x14ac:dyDescent="0.3">
      <c r="A669" t="s">
        <v>699</v>
      </c>
      <c r="B669" t="s">
        <v>14</v>
      </c>
      <c r="C669" t="s">
        <v>36</v>
      </c>
      <c r="D669">
        <v>1310</v>
      </c>
      <c r="E669" t="s">
        <v>16</v>
      </c>
      <c r="F669" t="s">
        <v>17</v>
      </c>
      <c r="G669" t="s">
        <v>31</v>
      </c>
      <c r="H669" s="1">
        <v>45361</v>
      </c>
      <c r="I669">
        <v>281.19990515068298</v>
      </c>
      <c r="J669">
        <v>1</v>
      </c>
      <c r="K669">
        <v>281.19990515068298</v>
      </c>
      <c r="L669">
        <v>84.3599715452049</v>
      </c>
      <c r="M669" t="s">
        <v>34</v>
      </c>
      <c r="N669">
        <f>Supermarket_Sales_Case_Study[[#This Row],[Sales_Amount]]-Supermarket_Sales_Case_Study[[#This Row],[Profit]]</f>
        <v>196.83993360547808</v>
      </c>
      <c r="O669" s="2">
        <f>(Supermarket_Sales_Case_Study[[#This Row],[Sales_Amount]]-Supermarket_Sales_Case_Study[[#This Row],[Purchase]])/Supermarket_Sales_Case_Study[[#This Row],[Sales_Amount]]</f>
        <v>0.30000000000000004</v>
      </c>
      <c r="P669">
        <f>Supermarket_Sales_Case_Study[[#This Row],[Quantity]]*Supermarket_Sales_Case_Study[[#This Row],[Sales_Amount]]</f>
        <v>281.19990515068298</v>
      </c>
    </row>
    <row r="670" spans="1:16" x14ac:dyDescent="0.3">
      <c r="A670" t="s">
        <v>700</v>
      </c>
      <c r="B670" t="s">
        <v>21</v>
      </c>
      <c r="C670" t="s">
        <v>15</v>
      </c>
      <c r="D670">
        <v>2484</v>
      </c>
      <c r="E670" t="s">
        <v>16</v>
      </c>
      <c r="F670" t="s">
        <v>22</v>
      </c>
      <c r="G670" t="s">
        <v>18</v>
      </c>
      <c r="H670" s="1">
        <v>45368</v>
      </c>
      <c r="I670">
        <v>118.983454595365</v>
      </c>
      <c r="J670">
        <v>2</v>
      </c>
      <c r="K670">
        <v>237.96690919073001</v>
      </c>
      <c r="L670">
        <v>71.390072757219002</v>
      </c>
      <c r="M670" t="s">
        <v>34</v>
      </c>
      <c r="N670">
        <f>Supermarket_Sales_Case_Study[[#This Row],[Sales_Amount]]-Supermarket_Sales_Case_Study[[#This Row],[Profit]]</f>
        <v>166.576836433511</v>
      </c>
      <c r="O670" s="2">
        <f>(Supermarket_Sales_Case_Study[[#This Row],[Sales_Amount]]-Supermarket_Sales_Case_Study[[#This Row],[Purchase]])/Supermarket_Sales_Case_Study[[#This Row],[Sales_Amount]]</f>
        <v>0.3</v>
      </c>
      <c r="P670">
        <f>Supermarket_Sales_Case_Study[[#This Row],[Quantity]]*Supermarket_Sales_Case_Study[[#This Row],[Sales_Amount]]</f>
        <v>475.93381838146001</v>
      </c>
    </row>
    <row r="671" spans="1:16" x14ac:dyDescent="0.3">
      <c r="A671" t="s">
        <v>701</v>
      </c>
      <c r="B671" t="s">
        <v>14</v>
      </c>
      <c r="C671" t="s">
        <v>15</v>
      </c>
      <c r="D671">
        <v>2231</v>
      </c>
      <c r="E671" t="s">
        <v>26</v>
      </c>
      <c r="F671" t="s">
        <v>22</v>
      </c>
      <c r="G671" t="s">
        <v>37</v>
      </c>
      <c r="H671" s="1">
        <v>45378</v>
      </c>
      <c r="I671">
        <v>215.35533212118099</v>
      </c>
      <c r="J671">
        <v>9</v>
      </c>
      <c r="K671">
        <v>1938.19798909063</v>
      </c>
      <c r="L671">
        <v>581.45939672718896</v>
      </c>
      <c r="M671" t="s">
        <v>24</v>
      </c>
      <c r="N671">
        <f>Supermarket_Sales_Case_Study[[#This Row],[Sales_Amount]]-Supermarket_Sales_Case_Study[[#This Row],[Profit]]</f>
        <v>1356.7385923634411</v>
      </c>
      <c r="O671" s="2">
        <f>(Supermarket_Sales_Case_Study[[#This Row],[Sales_Amount]]-Supermarket_Sales_Case_Study[[#This Row],[Purchase]])/Supermarket_Sales_Case_Study[[#This Row],[Sales_Amount]]</f>
        <v>0.3</v>
      </c>
      <c r="P671">
        <f>Supermarket_Sales_Case_Study[[#This Row],[Quantity]]*Supermarket_Sales_Case_Study[[#This Row],[Sales_Amount]]</f>
        <v>17443.78190181567</v>
      </c>
    </row>
    <row r="672" spans="1:16" x14ac:dyDescent="0.3">
      <c r="A672" t="s">
        <v>702</v>
      </c>
      <c r="B672" t="s">
        <v>21</v>
      </c>
      <c r="C672" t="s">
        <v>30</v>
      </c>
      <c r="D672">
        <v>1663</v>
      </c>
      <c r="E672" t="s">
        <v>16</v>
      </c>
      <c r="F672" t="s">
        <v>17</v>
      </c>
      <c r="G672" t="s">
        <v>33</v>
      </c>
      <c r="H672" s="1">
        <v>45364</v>
      </c>
      <c r="I672">
        <v>147.949467223178</v>
      </c>
      <c r="J672">
        <v>7</v>
      </c>
      <c r="K672">
        <v>1035.64627056224</v>
      </c>
      <c r="L672">
        <v>310.69388116867299</v>
      </c>
      <c r="M672" t="s">
        <v>34</v>
      </c>
      <c r="N672">
        <f>Supermarket_Sales_Case_Study[[#This Row],[Sales_Amount]]-Supermarket_Sales_Case_Study[[#This Row],[Profit]]</f>
        <v>724.95238939356705</v>
      </c>
      <c r="O672" s="2">
        <f>(Supermarket_Sales_Case_Study[[#This Row],[Sales_Amount]]-Supermarket_Sales_Case_Study[[#This Row],[Purchase]])/Supermarket_Sales_Case_Study[[#This Row],[Sales_Amount]]</f>
        <v>0.30000000000000093</v>
      </c>
      <c r="P672">
        <f>Supermarket_Sales_Case_Study[[#This Row],[Quantity]]*Supermarket_Sales_Case_Study[[#This Row],[Sales_Amount]]</f>
        <v>7249.5238939356805</v>
      </c>
    </row>
    <row r="673" spans="1:16" x14ac:dyDescent="0.3">
      <c r="A673" t="s">
        <v>703</v>
      </c>
      <c r="B673" t="s">
        <v>14</v>
      </c>
      <c r="C673" t="s">
        <v>30</v>
      </c>
      <c r="D673">
        <v>1437</v>
      </c>
      <c r="E673" t="s">
        <v>16</v>
      </c>
      <c r="F673" t="s">
        <v>17</v>
      </c>
      <c r="G673" t="s">
        <v>18</v>
      </c>
      <c r="H673" s="1">
        <v>45372</v>
      </c>
      <c r="I673">
        <v>205.575899026054</v>
      </c>
      <c r="J673">
        <v>7</v>
      </c>
      <c r="K673">
        <v>1439.0312931823801</v>
      </c>
      <c r="L673">
        <v>431.70938795471397</v>
      </c>
      <c r="M673" t="s">
        <v>24</v>
      </c>
      <c r="N673">
        <f>Supermarket_Sales_Case_Study[[#This Row],[Sales_Amount]]-Supermarket_Sales_Case_Study[[#This Row],[Profit]]</f>
        <v>1007.3219052276661</v>
      </c>
      <c r="O673" s="2">
        <f>(Supermarket_Sales_Case_Study[[#This Row],[Sales_Amount]]-Supermarket_Sales_Case_Study[[#This Row],[Purchase]])/Supermarket_Sales_Case_Study[[#This Row],[Sales_Amount]]</f>
        <v>0.3</v>
      </c>
      <c r="P673">
        <f>Supermarket_Sales_Case_Study[[#This Row],[Quantity]]*Supermarket_Sales_Case_Study[[#This Row],[Sales_Amount]]</f>
        <v>10073.219052276661</v>
      </c>
    </row>
    <row r="674" spans="1:16" x14ac:dyDescent="0.3">
      <c r="A674" t="s">
        <v>704</v>
      </c>
      <c r="B674" t="s">
        <v>21</v>
      </c>
      <c r="C674" t="s">
        <v>15</v>
      </c>
      <c r="D674">
        <v>1705</v>
      </c>
      <c r="E674" t="s">
        <v>16</v>
      </c>
      <c r="F674" t="s">
        <v>17</v>
      </c>
      <c r="G674" t="s">
        <v>28</v>
      </c>
      <c r="H674" s="1">
        <v>45357</v>
      </c>
      <c r="I674">
        <v>231.23906731076499</v>
      </c>
      <c r="J674">
        <v>6</v>
      </c>
      <c r="K674">
        <v>1387.43440386459</v>
      </c>
      <c r="L674">
        <v>416.23032115937798</v>
      </c>
      <c r="M674" t="s">
        <v>34</v>
      </c>
      <c r="N674">
        <f>Supermarket_Sales_Case_Study[[#This Row],[Sales_Amount]]-Supermarket_Sales_Case_Study[[#This Row],[Profit]]</f>
        <v>971.20408270521193</v>
      </c>
      <c r="O674" s="2">
        <f>(Supermarket_Sales_Case_Study[[#This Row],[Sales_Amount]]-Supermarket_Sales_Case_Study[[#This Row],[Purchase]])/Supermarket_Sales_Case_Study[[#This Row],[Sales_Amount]]</f>
        <v>0.30000000000000077</v>
      </c>
      <c r="P674">
        <f>Supermarket_Sales_Case_Study[[#This Row],[Quantity]]*Supermarket_Sales_Case_Study[[#This Row],[Sales_Amount]]</f>
        <v>8324.6064231875389</v>
      </c>
    </row>
    <row r="675" spans="1:16" x14ac:dyDescent="0.3">
      <c r="A675" t="s">
        <v>705</v>
      </c>
      <c r="B675" t="s">
        <v>39</v>
      </c>
      <c r="C675" t="s">
        <v>36</v>
      </c>
      <c r="D675">
        <v>2359</v>
      </c>
      <c r="E675" t="s">
        <v>26</v>
      </c>
      <c r="F675" t="s">
        <v>22</v>
      </c>
      <c r="G675" t="s">
        <v>18</v>
      </c>
      <c r="H675" s="1">
        <v>45310</v>
      </c>
      <c r="I675">
        <v>23.181225126380799</v>
      </c>
      <c r="J675">
        <v>3</v>
      </c>
      <c r="K675">
        <v>69.5436753791424</v>
      </c>
      <c r="L675">
        <v>20.863102613742701</v>
      </c>
      <c r="M675" t="s">
        <v>34</v>
      </c>
      <c r="N675">
        <f>Supermarket_Sales_Case_Study[[#This Row],[Sales_Amount]]-Supermarket_Sales_Case_Study[[#This Row],[Profit]]</f>
        <v>48.680572765399702</v>
      </c>
      <c r="O675" s="2">
        <f>(Supermarket_Sales_Case_Study[[#This Row],[Sales_Amount]]-Supermarket_Sales_Case_Study[[#This Row],[Purchase]])/Supermarket_Sales_Case_Study[[#This Row],[Sales_Amount]]</f>
        <v>0.29999999999999966</v>
      </c>
      <c r="P675">
        <f>Supermarket_Sales_Case_Study[[#This Row],[Quantity]]*Supermarket_Sales_Case_Study[[#This Row],[Sales_Amount]]</f>
        <v>208.6310261374272</v>
      </c>
    </row>
    <row r="676" spans="1:16" x14ac:dyDescent="0.3">
      <c r="A676" t="s">
        <v>706</v>
      </c>
      <c r="B676" t="s">
        <v>21</v>
      </c>
      <c r="C676" t="s">
        <v>30</v>
      </c>
      <c r="D676">
        <v>1421</v>
      </c>
      <c r="E676" t="s">
        <v>16</v>
      </c>
      <c r="F676" t="s">
        <v>22</v>
      </c>
      <c r="G676" t="s">
        <v>28</v>
      </c>
      <c r="H676" s="1">
        <v>45374</v>
      </c>
      <c r="I676">
        <v>197.51412874511101</v>
      </c>
      <c r="J676">
        <v>3</v>
      </c>
      <c r="K676">
        <v>592.54238623533502</v>
      </c>
      <c r="L676">
        <v>177.7627158706</v>
      </c>
      <c r="M676" t="s">
        <v>24</v>
      </c>
      <c r="N676">
        <f>Supermarket_Sales_Case_Study[[#This Row],[Sales_Amount]]-Supermarket_Sales_Case_Study[[#This Row],[Profit]]</f>
        <v>414.77967036473501</v>
      </c>
      <c r="O676" s="2">
        <f>(Supermarket_Sales_Case_Study[[#This Row],[Sales_Amount]]-Supermarket_Sales_Case_Study[[#This Row],[Purchase]])/Supermarket_Sales_Case_Study[[#This Row],[Sales_Amount]]</f>
        <v>0.29999999999999916</v>
      </c>
      <c r="P676">
        <f>Supermarket_Sales_Case_Study[[#This Row],[Quantity]]*Supermarket_Sales_Case_Study[[#This Row],[Sales_Amount]]</f>
        <v>1777.627158706005</v>
      </c>
    </row>
    <row r="677" spans="1:16" x14ac:dyDescent="0.3">
      <c r="A677" t="s">
        <v>707</v>
      </c>
      <c r="B677" t="s">
        <v>14</v>
      </c>
      <c r="C677" t="s">
        <v>30</v>
      </c>
      <c r="D677">
        <v>1320</v>
      </c>
      <c r="E677" t="s">
        <v>26</v>
      </c>
      <c r="F677" t="s">
        <v>22</v>
      </c>
      <c r="G677" t="s">
        <v>37</v>
      </c>
      <c r="H677" s="1">
        <v>45298</v>
      </c>
      <c r="I677">
        <v>75.754943478013899</v>
      </c>
      <c r="J677">
        <v>2</v>
      </c>
      <c r="K677">
        <v>151.509886956027</v>
      </c>
      <c r="L677">
        <v>45.452966086808303</v>
      </c>
      <c r="M677" t="s">
        <v>24</v>
      </c>
      <c r="N677">
        <f>Supermarket_Sales_Case_Study[[#This Row],[Sales_Amount]]-Supermarket_Sales_Case_Study[[#This Row],[Profit]]</f>
        <v>106.0569208692187</v>
      </c>
      <c r="O677" s="2">
        <f>(Supermarket_Sales_Case_Study[[#This Row],[Sales_Amount]]-Supermarket_Sales_Case_Study[[#This Row],[Purchase]])/Supermarket_Sales_Case_Study[[#This Row],[Sales_Amount]]</f>
        <v>0.30000000000000132</v>
      </c>
      <c r="P677">
        <f>Supermarket_Sales_Case_Study[[#This Row],[Quantity]]*Supermarket_Sales_Case_Study[[#This Row],[Sales_Amount]]</f>
        <v>303.01977391205401</v>
      </c>
    </row>
    <row r="678" spans="1:16" x14ac:dyDescent="0.3">
      <c r="A678" t="s">
        <v>708</v>
      </c>
      <c r="B678" t="s">
        <v>21</v>
      </c>
      <c r="C678" t="s">
        <v>15</v>
      </c>
      <c r="D678">
        <v>1586</v>
      </c>
      <c r="E678" t="s">
        <v>16</v>
      </c>
      <c r="F678" t="s">
        <v>17</v>
      </c>
      <c r="G678" t="s">
        <v>28</v>
      </c>
      <c r="H678" s="1">
        <v>45354</v>
      </c>
      <c r="I678">
        <v>204.30943596419399</v>
      </c>
      <c r="J678">
        <v>6</v>
      </c>
      <c r="K678">
        <v>1225.8566157851601</v>
      </c>
      <c r="L678">
        <v>367.756984735549</v>
      </c>
      <c r="M678" t="s">
        <v>19</v>
      </c>
      <c r="N678">
        <f>Supermarket_Sales_Case_Study[[#This Row],[Sales_Amount]]-Supermarket_Sales_Case_Study[[#This Row],[Profit]]</f>
        <v>858.09963104961116</v>
      </c>
      <c r="O678" s="2">
        <f>(Supermarket_Sales_Case_Study[[#This Row],[Sales_Amount]]-Supermarket_Sales_Case_Study[[#This Row],[Purchase]])/Supermarket_Sales_Case_Study[[#This Row],[Sales_Amount]]</f>
        <v>0.30000000000000077</v>
      </c>
      <c r="P678">
        <f>Supermarket_Sales_Case_Study[[#This Row],[Quantity]]*Supermarket_Sales_Case_Study[[#This Row],[Sales_Amount]]</f>
        <v>7355.1396947109606</v>
      </c>
    </row>
    <row r="679" spans="1:16" x14ac:dyDescent="0.3">
      <c r="A679" t="s">
        <v>709</v>
      </c>
      <c r="B679" t="s">
        <v>21</v>
      </c>
      <c r="C679" t="s">
        <v>36</v>
      </c>
      <c r="D679">
        <v>1946</v>
      </c>
      <c r="E679" t="s">
        <v>26</v>
      </c>
      <c r="F679" t="s">
        <v>17</v>
      </c>
      <c r="G679" t="s">
        <v>37</v>
      </c>
      <c r="H679" s="1">
        <v>45333</v>
      </c>
      <c r="I679">
        <v>145.81575392080501</v>
      </c>
      <c r="J679">
        <v>4</v>
      </c>
      <c r="K679">
        <v>583.26301568322299</v>
      </c>
      <c r="L679">
        <v>174.97890470496699</v>
      </c>
      <c r="M679" t="s">
        <v>24</v>
      </c>
      <c r="N679">
        <f>Supermarket_Sales_Case_Study[[#This Row],[Sales_Amount]]-Supermarket_Sales_Case_Study[[#This Row],[Profit]]</f>
        <v>408.28411097825597</v>
      </c>
      <c r="O679" s="2">
        <f>(Supermarket_Sales_Case_Study[[#This Row],[Sales_Amount]]-Supermarket_Sales_Case_Study[[#This Row],[Purchase]])/Supermarket_Sales_Case_Study[[#This Row],[Sales_Amount]]</f>
        <v>0.30000000000000021</v>
      </c>
      <c r="P679">
        <f>Supermarket_Sales_Case_Study[[#This Row],[Quantity]]*Supermarket_Sales_Case_Study[[#This Row],[Sales_Amount]]</f>
        <v>2333.052062732892</v>
      </c>
    </row>
    <row r="680" spans="1:16" x14ac:dyDescent="0.3">
      <c r="A680" t="s">
        <v>710</v>
      </c>
      <c r="B680" t="s">
        <v>21</v>
      </c>
      <c r="C680" t="s">
        <v>15</v>
      </c>
      <c r="D680">
        <v>2186</v>
      </c>
      <c r="E680" t="s">
        <v>26</v>
      </c>
      <c r="F680" t="s">
        <v>22</v>
      </c>
      <c r="G680" t="s">
        <v>37</v>
      </c>
      <c r="H680" s="1">
        <v>45333</v>
      </c>
      <c r="I680">
        <v>234.33029514081699</v>
      </c>
      <c r="J680">
        <v>5</v>
      </c>
      <c r="K680">
        <v>1171.65147570408</v>
      </c>
      <c r="L680">
        <v>351.495442711225</v>
      </c>
      <c r="M680" t="s">
        <v>24</v>
      </c>
      <c r="N680">
        <f>Supermarket_Sales_Case_Study[[#This Row],[Sales_Amount]]-Supermarket_Sales_Case_Study[[#This Row],[Profit]]</f>
        <v>820.15603299285499</v>
      </c>
      <c r="O680" s="2">
        <f>(Supermarket_Sales_Case_Study[[#This Row],[Sales_Amount]]-Supermarket_Sales_Case_Study[[#This Row],[Purchase]])/Supermarket_Sales_Case_Study[[#This Row],[Sales_Amount]]</f>
        <v>0.30000000000000088</v>
      </c>
      <c r="P680">
        <f>Supermarket_Sales_Case_Study[[#This Row],[Quantity]]*Supermarket_Sales_Case_Study[[#This Row],[Sales_Amount]]</f>
        <v>5858.2573785204004</v>
      </c>
    </row>
    <row r="681" spans="1:16" x14ac:dyDescent="0.3">
      <c r="A681" t="s">
        <v>711</v>
      </c>
      <c r="B681" t="s">
        <v>39</v>
      </c>
      <c r="C681" t="s">
        <v>36</v>
      </c>
      <c r="D681">
        <v>2188</v>
      </c>
      <c r="E681" t="s">
        <v>16</v>
      </c>
      <c r="F681" t="s">
        <v>17</v>
      </c>
      <c r="G681" t="s">
        <v>37</v>
      </c>
      <c r="H681" s="1">
        <v>45350</v>
      </c>
      <c r="I681">
        <v>45.786236409622902</v>
      </c>
      <c r="J681">
        <v>3</v>
      </c>
      <c r="K681">
        <v>137.35870922886801</v>
      </c>
      <c r="L681">
        <v>41.207612768660603</v>
      </c>
      <c r="M681" t="s">
        <v>19</v>
      </c>
      <c r="N681">
        <f>Supermarket_Sales_Case_Study[[#This Row],[Sales_Amount]]-Supermarket_Sales_Case_Study[[#This Row],[Profit]]</f>
        <v>96.151096460207413</v>
      </c>
      <c r="O681" s="2">
        <f>(Supermarket_Sales_Case_Study[[#This Row],[Sales_Amount]]-Supermarket_Sales_Case_Study[[#This Row],[Purchase]])/Supermarket_Sales_Case_Study[[#This Row],[Sales_Amount]]</f>
        <v>0.30000000000000143</v>
      </c>
      <c r="P681">
        <f>Supermarket_Sales_Case_Study[[#This Row],[Quantity]]*Supermarket_Sales_Case_Study[[#This Row],[Sales_Amount]]</f>
        <v>412.07612768660402</v>
      </c>
    </row>
    <row r="682" spans="1:16" x14ac:dyDescent="0.3">
      <c r="A682" t="s">
        <v>712</v>
      </c>
      <c r="B682" t="s">
        <v>21</v>
      </c>
      <c r="C682" t="s">
        <v>36</v>
      </c>
      <c r="D682">
        <v>1848</v>
      </c>
      <c r="E682" t="s">
        <v>16</v>
      </c>
      <c r="F682" t="s">
        <v>22</v>
      </c>
      <c r="G682" t="s">
        <v>37</v>
      </c>
      <c r="H682" s="1">
        <v>45311</v>
      </c>
      <c r="I682">
        <v>191.63348198029601</v>
      </c>
      <c r="J682">
        <v>6</v>
      </c>
      <c r="K682">
        <v>1149.80089188177</v>
      </c>
      <c r="L682">
        <v>344.94026756453297</v>
      </c>
      <c r="M682" t="s">
        <v>24</v>
      </c>
      <c r="N682">
        <f>Supermarket_Sales_Case_Study[[#This Row],[Sales_Amount]]-Supermarket_Sales_Case_Study[[#This Row],[Profit]]</f>
        <v>804.86062431723701</v>
      </c>
      <c r="O682" s="2">
        <f>(Supermarket_Sales_Case_Study[[#This Row],[Sales_Amount]]-Supermarket_Sales_Case_Study[[#This Row],[Purchase]])/Supermarket_Sales_Case_Study[[#This Row],[Sales_Amount]]</f>
        <v>0.30000000000000171</v>
      </c>
      <c r="P682">
        <f>Supermarket_Sales_Case_Study[[#This Row],[Quantity]]*Supermarket_Sales_Case_Study[[#This Row],[Sales_Amount]]</f>
        <v>6898.8053512906199</v>
      </c>
    </row>
    <row r="683" spans="1:16" x14ac:dyDescent="0.3">
      <c r="A683" t="s">
        <v>713</v>
      </c>
      <c r="B683" t="s">
        <v>39</v>
      </c>
      <c r="C683" t="s">
        <v>36</v>
      </c>
      <c r="D683">
        <v>2318</v>
      </c>
      <c r="E683" t="s">
        <v>26</v>
      </c>
      <c r="F683" t="s">
        <v>17</v>
      </c>
      <c r="G683" t="s">
        <v>37</v>
      </c>
      <c r="H683" s="1">
        <v>45364</v>
      </c>
      <c r="I683">
        <v>90.756511388990106</v>
      </c>
      <c r="J683">
        <v>3</v>
      </c>
      <c r="K683">
        <v>272.26953416697</v>
      </c>
      <c r="L683">
        <v>81.680860250091101</v>
      </c>
      <c r="M683" t="s">
        <v>24</v>
      </c>
      <c r="N683">
        <f>Supermarket_Sales_Case_Study[[#This Row],[Sales_Amount]]-Supermarket_Sales_Case_Study[[#This Row],[Profit]]</f>
        <v>190.58867391687892</v>
      </c>
      <c r="O683" s="2">
        <f>(Supermarket_Sales_Case_Study[[#This Row],[Sales_Amount]]-Supermarket_Sales_Case_Study[[#This Row],[Purchase]])/Supermarket_Sales_Case_Study[[#This Row],[Sales_Amount]]</f>
        <v>0.30000000000000032</v>
      </c>
      <c r="P683">
        <f>Supermarket_Sales_Case_Study[[#This Row],[Quantity]]*Supermarket_Sales_Case_Study[[#This Row],[Sales_Amount]]</f>
        <v>816.80860250090996</v>
      </c>
    </row>
    <row r="684" spans="1:16" x14ac:dyDescent="0.3">
      <c r="A684" t="s">
        <v>714</v>
      </c>
      <c r="B684" t="s">
        <v>39</v>
      </c>
      <c r="C684" t="s">
        <v>30</v>
      </c>
      <c r="D684">
        <v>1041</v>
      </c>
      <c r="E684" t="s">
        <v>16</v>
      </c>
      <c r="F684" t="s">
        <v>17</v>
      </c>
      <c r="G684" t="s">
        <v>18</v>
      </c>
      <c r="H684" s="1">
        <v>45308</v>
      </c>
      <c r="I684">
        <v>257.36477864587101</v>
      </c>
      <c r="J684">
        <v>8</v>
      </c>
      <c r="K684">
        <v>2058.9182291669699</v>
      </c>
      <c r="L684">
        <v>617.675468750091</v>
      </c>
      <c r="M684" t="s">
        <v>19</v>
      </c>
      <c r="N684">
        <f>Supermarket_Sales_Case_Study[[#This Row],[Sales_Amount]]-Supermarket_Sales_Case_Study[[#This Row],[Profit]]</f>
        <v>1441.2427604168788</v>
      </c>
      <c r="O684" s="2">
        <f>(Supermarket_Sales_Case_Study[[#This Row],[Sales_Amount]]-Supermarket_Sales_Case_Study[[#This Row],[Purchase]])/Supermarket_Sales_Case_Study[[#This Row],[Sales_Amount]]</f>
        <v>0.30000000000000004</v>
      </c>
      <c r="P684">
        <f>Supermarket_Sales_Case_Study[[#This Row],[Quantity]]*Supermarket_Sales_Case_Study[[#This Row],[Sales_Amount]]</f>
        <v>16471.345833335759</v>
      </c>
    </row>
    <row r="685" spans="1:16" x14ac:dyDescent="0.3">
      <c r="A685" t="s">
        <v>715</v>
      </c>
      <c r="B685" t="s">
        <v>21</v>
      </c>
      <c r="C685" t="s">
        <v>15</v>
      </c>
      <c r="D685">
        <v>2308</v>
      </c>
      <c r="E685" t="s">
        <v>16</v>
      </c>
      <c r="F685" t="s">
        <v>17</v>
      </c>
      <c r="G685" t="s">
        <v>37</v>
      </c>
      <c r="H685" s="1">
        <v>45318</v>
      </c>
      <c r="I685">
        <v>279.23121663452901</v>
      </c>
      <c r="J685">
        <v>9</v>
      </c>
      <c r="K685">
        <v>2513.0809497107598</v>
      </c>
      <c r="L685">
        <v>753.92428491322801</v>
      </c>
      <c r="M685" t="s">
        <v>24</v>
      </c>
      <c r="N685">
        <f>Supermarket_Sales_Case_Study[[#This Row],[Sales_Amount]]-Supermarket_Sales_Case_Study[[#This Row],[Profit]]</f>
        <v>1759.1566647975319</v>
      </c>
      <c r="O685" s="2">
        <f>(Supermarket_Sales_Case_Study[[#This Row],[Sales_Amount]]-Supermarket_Sales_Case_Study[[#This Row],[Purchase]])/Supermarket_Sales_Case_Study[[#This Row],[Sales_Amount]]</f>
        <v>0.3</v>
      </c>
      <c r="P685">
        <f>Supermarket_Sales_Case_Study[[#This Row],[Quantity]]*Supermarket_Sales_Case_Study[[#This Row],[Sales_Amount]]</f>
        <v>22617.728547396837</v>
      </c>
    </row>
    <row r="686" spans="1:16" x14ac:dyDescent="0.3">
      <c r="A686" t="s">
        <v>716</v>
      </c>
      <c r="B686" t="s">
        <v>21</v>
      </c>
      <c r="C686" t="s">
        <v>15</v>
      </c>
      <c r="D686">
        <v>1938</v>
      </c>
      <c r="E686" t="s">
        <v>16</v>
      </c>
      <c r="F686" t="s">
        <v>17</v>
      </c>
      <c r="G686" t="s">
        <v>18</v>
      </c>
      <c r="H686" s="1">
        <v>45338</v>
      </c>
      <c r="I686">
        <v>298.955505166926</v>
      </c>
      <c r="J686">
        <v>4</v>
      </c>
      <c r="K686">
        <v>1195.8220206676999</v>
      </c>
      <c r="L686">
        <v>358.74660620031102</v>
      </c>
      <c r="M686" t="s">
        <v>24</v>
      </c>
      <c r="N686">
        <f>Supermarket_Sales_Case_Study[[#This Row],[Sales_Amount]]-Supermarket_Sales_Case_Study[[#This Row],[Profit]]</f>
        <v>837.0754144673889</v>
      </c>
      <c r="O686" s="2">
        <f>(Supermarket_Sales_Case_Study[[#This Row],[Sales_Amount]]-Supermarket_Sales_Case_Study[[#This Row],[Purchase]])/Supermarket_Sales_Case_Study[[#This Row],[Sales_Amount]]</f>
        <v>0.30000000000000088</v>
      </c>
      <c r="P686">
        <f>Supermarket_Sales_Case_Study[[#This Row],[Quantity]]*Supermarket_Sales_Case_Study[[#This Row],[Sales_Amount]]</f>
        <v>4783.2880826707997</v>
      </c>
    </row>
    <row r="687" spans="1:16" x14ac:dyDescent="0.3">
      <c r="A687" t="s">
        <v>717</v>
      </c>
      <c r="B687" t="s">
        <v>21</v>
      </c>
      <c r="C687" t="s">
        <v>36</v>
      </c>
      <c r="D687">
        <v>1386</v>
      </c>
      <c r="E687" t="s">
        <v>26</v>
      </c>
      <c r="F687" t="s">
        <v>22</v>
      </c>
      <c r="G687" t="s">
        <v>37</v>
      </c>
      <c r="H687" s="1">
        <v>45293</v>
      </c>
      <c r="I687">
        <v>240.84214670391199</v>
      </c>
      <c r="J687">
        <v>9</v>
      </c>
      <c r="K687">
        <v>2167.5793203352</v>
      </c>
      <c r="L687">
        <v>650.27379610056198</v>
      </c>
      <c r="M687" t="s">
        <v>19</v>
      </c>
      <c r="N687">
        <f>Supermarket_Sales_Case_Study[[#This Row],[Sales_Amount]]-Supermarket_Sales_Case_Study[[#This Row],[Profit]]</f>
        <v>1517.3055242346381</v>
      </c>
      <c r="O687" s="2">
        <f>(Supermarket_Sales_Case_Study[[#This Row],[Sales_Amount]]-Supermarket_Sales_Case_Study[[#This Row],[Purchase]])/Supermarket_Sales_Case_Study[[#This Row],[Sales_Amount]]</f>
        <v>0.30000000000000088</v>
      </c>
      <c r="P687">
        <f>Supermarket_Sales_Case_Study[[#This Row],[Quantity]]*Supermarket_Sales_Case_Study[[#This Row],[Sales_Amount]]</f>
        <v>19508.213883016801</v>
      </c>
    </row>
    <row r="688" spans="1:16" x14ac:dyDescent="0.3">
      <c r="A688" t="s">
        <v>718</v>
      </c>
      <c r="B688" t="s">
        <v>14</v>
      </c>
      <c r="C688" t="s">
        <v>30</v>
      </c>
      <c r="D688">
        <v>2161</v>
      </c>
      <c r="E688" t="s">
        <v>26</v>
      </c>
      <c r="F688" t="s">
        <v>17</v>
      </c>
      <c r="G688" t="s">
        <v>28</v>
      </c>
      <c r="H688" s="1">
        <v>45354</v>
      </c>
      <c r="I688">
        <v>228.58288042412099</v>
      </c>
      <c r="J688">
        <v>7</v>
      </c>
      <c r="K688">
        <v>1600.0801629688401</v>
      </c>
      <c r="L688">
        <v>480.024048890654</v>
      </c>
      <c r="M688" t="s">
        <v>19</v>
      </c>
      <c r="N688">
        <f>Supermarket_Sales_Case_Study[[#This Row],[Sales_Amount]]-Supermarket_Sales_Case_Study[[#This Row],[Profit]]</f>
        <v>1120.0561140781861</v>
      </c>
      <c r="O688" s="2">
        <f>(Supermarket_Sales_Case_Study[[#This Row],[Sales_Amount]]-Supermarket_Sales_Case_Study[[#This Row],[Purchase]])/Supermarket_Sales_Case_Study[[#This Row],[Sales_Amount]]</f>
        <v>0.30000000000000127</v>
      </c>
      <c r="P688">
        <f>Supermarket_Sales_Case_Study[[#This Row],[Quantity]]*Supermarket_Sales_Case_Study[[#This Row],[Sales_Amount]]</f>
        <v>11200.561140781881</v>
      </c>
    </row>
    <row r="689" spans="1:16" x14ac:dyDescent="0.3">
      <c r="A689" t="s">
        <v>719</v>
      </c>
      <c r="B689" t="s">
        <v>21</v>
      </c>
      <c r="C689" t="s">
        <v>30</v>
      </c>
      <c r="D689">
        <v>2210</v>
      </c>
      <c r="E689" t="s">
        <v>16</v>
      </c>
      <c r="F689" t="s">
        <v>22</v>
      </c>
      <c r="G689" t="s">
        <v>37</v>
      </c>
      <c r="H689" s="1">
        <v>45353</v>
      </c>
      <c r="I689">
        <v>72.495220071589799</v>
      </c>
      <c r="J689">
        <v>3</v>
      </c>
      <c r="K689">
        <v>217.48566021476901</v>
      </c>
      <c r="L689">
        <v>65.245698064430798</v>
      </c>
      <c r="M689" t="s">
        <v>34</v>
      </c>
      <c r="N689">
        <f>Supermarket_Sales_Case_Study[[#This Row],[Sales_Amount]]-Supermarket_Sales_Case_Study[[#This Row],[Profit]]</f>
        <v>152.23996215033821</v>
      </c>
      <c r="O689" s="2">
        <f>(Supermarket_Sales_Case_Study[[#This Row],[Sales_Amount]]-Supermarket_Sales_Case_Study[[#This Row],[Purchase]])/Supermarket_Sales_Case_Study[[#This Row],[Sales_Amount]]</f>
        <v>0.30000000000000043</v>
      </c>
      <c r="P689">
        <f>Supermarket_Sales_Case_Study[[#This Row],[Quantity]]*Supermarket_Sales_Case_Study[[#This Row],[Sales_Amount]]</f>
        <v>652.45698064430701</v>
      </c>
    </row>
    <row r="690" spans="1:16" x14ac:dyDescent="0.3">
      <c r="A690" t="s">
        <v>720</v>
      </c>
      <c r="B690" t="s">
        <v>39</v>
      </c>
      <c r="C690" t="s">
        <v>15</v>
      </c>
      <c r="D690">
        <v>1909</v>
      </c>
      <c r="E690" t="s">
        <v>16</v>
      </c>
      <c r="F690" t="s">
        <v>22</v>
      </c>
      <c r="G690" t="s">
        <v>33</v>
      </c>
      <c r="H690" s="1">
        <v>45310</v>
      </c>
      <c r="I690">
        <v>107.442047107131</v>
      </c>
      <c r="J690">
        <v>7</v>
      </c>
      <c r="K690">
        <v>752.09432974992001</v>
      </c>
      <c r="L690">
        <v>225.62829892497601</v>
      </c>
      <c r="M690" t="s">
        <v>24</v>
      </c>
      <c r="N690">
        <f>Supermarket_Sales_Case_Study[[#This Row],[Sales_Amount]]-Supermarket_Sales_Case_Study[[#This Row],[Profit]]</f>
        <v>526.46603082494403</v>
      </c>
      <c r="O690" s="2">
        <f>(Supermarket_Sales_Case_Study[[#This Row],[Sales_Amount]]-Supermarket_Sales_Case_Study[[#This Row],[Purchase]])/Supermarket_Sales_Case_Study[[#This Row],[Sales_Amount]]</f>
        <v>0.3</v>
      </c>
      <c r="P690">
        <f>Supermarket_Sales_Case_Study[[#This Row],[Quantity]]*Supermarket_Sales_Case_Study[[#This Row],[Sales_Amount]]</f>
        <v>5264.6603082494403</v>
      </c>
    </row>
    <row r="691" spans="1:16" x14ac:dyDescent="0.3">
      <c r="A691" t="s">
        <v>721</v>
      </c>
      <c r="B691" t="s">
        <v>21</v>
      </c>
      <c r="C691" t="s">
        <v>30</v>
      </c>
      <c r="D691">
        <v>1715</v>
      </c>
      <c r="E691" t="s">
        <v>16</v>
      </c>
      <c r="F691" t="s">
        <v>22</v>
      </c>
      <c r="G691" t="s">
        <v>37</v>
      </c>
      <c r="H691" s="1">
        <v>45308</v>
      </c>
      <c r="I691">
        <v>145.047937111061</v>
      </c>
      <c r="J691">
        <v>1</v>
      </c>
      <c r="K691">
        <v>145.047937111061</v>
      </c>
      <c r="L691">
        <v>43.514381133318302</v>
      </c>
      <c r="M691" t="s">
        <v>34</v>
      </c>
      <c r="N691">
        <f>Supermarket_Sales_Case_Study[[#This Row],[Sales_Amount]]-Supermarket_Sales_Case_Study[[#This Row],[Profit]]</f>
        <v>101.53355597774271</v>
      </c>
      <c r="O691" s="2">
        <f>(Supermarket_Sales_Case_Study[[#This Row],[Sales_Amount]]-Supermarket_Sales_Case_Study[[#This Row],[Purchase]])/Supermarket_Sales_Case_Study[[#This Row],[Sales_Amount]]</f>
        <v>0.29999999999999993</v>
      </c>
      <c r="P691">
        <f>Supermarket_Sales_Case_Study[[#This Row],[Quantity]]*Supermarket_Sales_Case_Study[[#This Row],[Sales_Amount]]</f>
        <v>145.047937111061</v>
      </c>
    </row>
    <row r="692" spans="1:16" x14ac:dyDescent="0.3">
      <c r="A692" t="s">
        <v>722</v>
      </c>
      <c r="B692" t="s">
        <v>14</v>
      </c>
      <c r="C692" t="s">
        <v>30</v>
      </c>
      <c r="D692">
        <v>1430</v>
      </c>
      <c r="E692" t="s">
        <v>26</v>
      </c>
      <c r="F692" t="s">
        <v>17</v>
      </c>
      <c r="G692" t="s">
        <v>37</v>
      </c>
      <c r="H692" s="1">
        <v>45360</v>
      </c>
      <c r="I692">
        <v>234.28050385685199</v>
      </c>
      <c r="J692">
        <v>3</v>
      </c>
      <c r="K692">
        <v>702.84151157055703</v>
      </c>
      <c r="L692">
        <v>210.852453471167</v>
      </c>
      <c r="M692" t="s">
        <v>34</v>
      </c>
      <c r="N692">
        <f>Supermarket_Sales_Case_Study[[#This Row],[Sales_Amount]]-Supermarket_Sales_Case_Study[[#This Row],[Profit]]</f>
        <v>491.98905809939004</v>
      </c>
      <c r="O692" s="2">
        <f>(Supermarket_Sales_Case_Study[[#This Row],[Sales_Amount]]-Supermarket_Sales_Case_Study[[#This Row],[Purchase]])/Supermarket_Sales_Case_Study[[#This Row],[Sales_Amount]]</f>
        <v>0.29999999999999982</v>
      </c>
      <c r="P692">
        <f>Supermarket_Sales_Case_Study[[#This Row],[Quantity]]*Supermarket_Sales_Case_Study[[#This Row],[Sales_Amount]]</f>
        <v>2108.5245347116711</v>
      </c>
    </row>
    <row r="693" spans="1:16" x14ac:dyDescent="0.3">
      <c r="A693" t="s">
        <v>723</v>
      </c>
      <c r="B693" t="s">
        <v>21</v>
      </c>
      <c r="C693" t="s">
        <v>36</v>
      </c>
      <c r="D693">
        <v>1553</v>
      </c>
      <c r="E693" t="s">
        <v>26</v>
      </c>
      <c r="F693" t="s">
        <v>22</v>
      </c>
      <c r="G693" t="s">
        <v>28</v>
      </c>
      <c r="H693" s="1">
        <v>45330</v>
      </c>
      <c r="I693">
        <v>275.34010087260998</v>
      </c>
      <c r="J693">
        <v>6</v>
      </c>
      <c r="K693">
        <v>1652.04060523566</v>
      </c>
      <c r="L693">
        <v>495.61218157069902</v>
      </c>
      <c r="M693" t="s">
        <v>19</v>
      </c>
      <c r="N693">
        <f>Supermarket_Sales_Case_Study[[#This Row],[Sales_Amount]]-Supermarket_Sales_Case_Study[[#This Row],[Profit]]</f>
        <v>1156.428423664961</v>
      </c>
      <c r="O693" s="2">
        <f>(Supermarket_Sales_Case_Study[[#This Row],[Sales_Amount]]-Supermarket_Sales_Case_Study[[#This Row],[Purchase]])/Supermarket_Sales_Case_Study[[#This Row],[Sales_Amount]]</f>
        <v>0.3000000000000006</v>
      </c>
      <c r="P693">
        <f>Supermarket_Sales_Case_Study[[#This Row],[Quantity]]*Supermarket_Sales_Case_Study[[#This Row],[Sales_Amount]]</f>
        <v>9912.2436314139595</v>
      </c>
    </row>
    <row r="694" spans="1:16" x14ac:dyDescent="0.3">
      <c r="A694" t="s">
        <v>724</v>
      </c>
      <c r="B694" t="s">
        <v>14</v>
      </c>
      <c r="C694" t="s">
        <v>30</v>
      </c>
      <c r="D694">
        <v>2439</v>
      </c>
      <c r="E694" t="s">
        <v>16</v>
      </c>
      <c r="F694" t="s">
        <v>22</v>
      </c>
      <c r="G694" t="s">
        <v>23</v>
      </c>
      <c r="H694" s="1">
        <v>45373</v>
      </c>
      <c r="I694">
        <v>64.850339006665493</v>
      </c>
      <c r="J694">
        <v>4</v>
      </c>
      <c r="K694">
        <v>259.40135602666197</v>
      </c>
      <c r="L694">
        <v>77.820406807998594</v>
      </c>
      <c r="M694" t="s">
        <v>24</v>
      </c>
      <c r="N694">
        <f>Supermarket_Sales_Case_Study[[#This Row],[Sales_Amount]]-Supermarket_Sales_Case_Study[[#This Row],[Profit]]</f>
        <v>181.58094921866336</v>
      </c>
      <c r="O694" s="2">
        <f>(Supermarket_Sales_Case_Study[[#This Row],[Sales_Amount]]-Supermarket_Sales_Case_Study[[#This Row],[Purchase]])/Supermarket_Sales_Case_Study[[#This Row],[Sales_Amount]]</f>
        <v>0.30000000000000004</v>
      </c>
      <c r="P694">
        <f>Supermarket_Sales_Case_Study[[#This Row],[Quantity]]*Supermarket_Sales_Case_Study[[#This Row],[Sales_Amount]]</f>
        <v>1037.6054241066479</v>
      </c>
    </row>
    <row r="695" spans="1:16" x14ac:dyDescent="0.3">
      <c r="A695" t="s">
        <v>725</v>
      </c>
      <c r="B695" t="s">
        <v>14</v>
      </c>
      <c r="C695" t="s">
        <v>36</v>
      </c>
      <c r="D695">
        <v>1799</v>
      </c>
      <c r="E695" t="s">
        <v>16</v>
      </c>
      <c r="F695" t="s">
        <v>22</v>
      </c>
      <c r="G695" t="s">
        <v>28</v>
      </c>
      <c r="H695" s="1">
        <v>45362</v>
      </c>
      <c r="I695">
        <v>277.48657055432898</v>
      </c>
      <c r="J695">
        <v>7</v>
      </c>
      <c r="K695">
        <v>1942.4059938803</v>
      </c>
      <c r="L695">
        <v>582.72179816409198</v>
      </c>
      <c r="M695" t="s">
        <v>24</v>
      </c>
      <c r="N695">
        <f>Supermarket_Sales_Case_Study[[#This Row],[Sales_Amount]]-Supermarket_Sales_Case_Study[[#This Row],[Profit]]</f>
        <v>1359.684195716208</v>
      </c>
      <c r="O695" s="2">
        <f>(Supermarket_Sales_Case_Study[[#This Row],[Sales_Amount]]-Supermarket_Sales_Case_Study[[#This Row],[Purchase]])/Supermarket_Sales_Case_Study[[#This Row],[Sales_Amount]]</f>
        <v>0.30000000000000104</v>
      </c>
      <c r="P695">
        <f>Supermarket_Sales_Case_Study[[#This Row],[Quantity]]*Supermarket_Sales_Case_Study[[#This Row],[Sales_Amount]]</f>
        <v>13596.8419571621</v>
      </c>
    </row>
    <row r="696" spans="1:16" x14ac:dyDescent="0.3">
      <c r="A696" t="s">
        <v>726</v>
      </c>
      <c r="B696" t="s">
        <v>21</v>
      </c>
      <c r="C696" t="s">
        <v>15</v>
      </c>
      <c r="D696">
        <v>1425</v>
      </c>
      <c r="E696" t="s">
        <v>16</v>
      </c>
      <c r="F696" t="s">
        <v>17</v>
      </c>
      <c r="G696" t="s">
        <v>33</v>
      </c>
      <c r="H696" s="1">
        <v>45372</v>
      </c>
      <c r="I696">
        <v>211.73114918267601</v>
      </c>
      <c r="J696">
        <v>3</v>
      </c>
      <c r="K696">
        <v>635.19344754803001</v>
      </c>
      <c r="L696">
        <v>190.558034264409</v>
      </c>
      <c r="M696" t="s">
        <v>19</v>
      </c>
      <c r="N696">
        <f>Supermarket_Sales_Case_Study[[#This Row],[Sales_Amount]]-Supermarket_Sales_Case_Study[[#This Row],[Profit]]</f>
        <v>444.63541328362101</v>
      </c>
      <c r="O696" s="2">
        <f>(Supermarket_Sales_Case_Study[[#This Row],[Sales_Amount]]-Supermarket_Sales_Case_Study[[#This Row],[Purchase]])/Supermarket_Sales_Case_Study[[#This Row],[Sales_Amount]]</f>
        <v>0.3</v>
      </c>
      <c r="P696">
        <f>Supermarket_Sales_Case_Study[[#This Row],[Quantity]]*Supermarket_Sales_Case_Study[[#This Row],[Sales_Amount]]</f>
        <v>1905.58034264409</v>
      </c>
    </row>
    <row r="697" spans="1:16" x14ac:dyDescent="0.3">
      <c r="A697" t="s">
        <v>727</v>
      </c>
      <c r="B697" t="s">
        <v>39</v>
      </c>
      <c r="C697" t="s">
        <v>30</v>
      </c>
      <c r="D697">
        <v>2439</v>
      </c>
      <c r="E697" t="s">
        <v>16</v>
      </c>
      <c r="F697" t="s">
        <v>17</v>
      </c>
      <c r="G697" t="s">
        <v>23</v>
      </c>
      <c r="H697" s="1">
        <v>45330</v>
      </c>
      <c r="I697">
        <v>187.12351189866101</v>
      </c>
      <c r="J697">
        <v>1</v>
      </c>
      <c r="K697">
        <v>187.12351189866101</v>
      </c>
      <c r="L697">
        <v>56.137053569598301</v>
      </c>
      <c r="M697" t="s">
        <v>34</v>
      </c>
      <c r="N697">
        <f>Supermarket_Sales_Case_Study[[#This Row],[Sales_Amount]]-Supermarket_Sales_Case_Study[[#This Row],[Profit]]</f>
        <v>130.98645832906271</v>
      </c>
      <c r="O697" s="2">
        <f>(Supermarket_Sales_Case_Study[[#This Row],[Sales_Amount]]-Supermarket_Sales_Case_Study[[#This Row],[Purchase]])/Supermarket_Sales_Case_Study[[#This Row],[Sales_Amount]]</f>
        <v>0.29999999999999993</v>
      </c>
      <c r="P697">
        <f>Supermarket_Sales_Case_Study[[#This Row],[Quantity]]*Supermarket_Sales_Case_Study[[#This Row],[Sales_Amount]]</f>
        <v>187.12351189866101</v>
      </c>
    </row>
    <row r="698" spans="1:16" x14ac:dyDescent="0.3">
      <c r="A698" t="s">
        <v>728</v>
      </c>
      <c r="B698" t="s">
        <v>14</v>
      </c>
      <c r="C698" t="s">
        <v>15</v>
      </c>
      <c r="D698">
        <v>1025</v>
      </c>
      <c r="E698" t="s">
        <v>16</v>
      </c>
      <c r="F698" t="s">
        <v>22</v>
      </c>
      <c r="G698" t="s">
        <v>31</v>
      </c>
      <c r="H698" s="1">
        <v>45327</v>
      </c>
      <c r="I698">
        <v>67.953968671762397</v>
      </c>
      <c r="J698">
        <v>9</v>
      </c>
      <c r="K698">
        <v>611.585718045862</v>
      </c>
      <c r="L698">
        <v>183.475715413758</v>
      </c>
      <c r="M698" t="s">
        <v>19</v>
      </c>
      <c r="N698">
        <f>Supermarket_Sales_Case_Study[[#This Row],[Sales_Amount]]-Supermarket_Sales_Case_Study[[#This Row],[Profit]]</f>
        <v>428.110002632104</v>
      </c>
      <c r="O698" s="2">
        <f>(Supermarket_Sales_Case_Study[[#This Row],[Sales_Amount]]-Supermarket_Sales_Case_Study[[#This Row],[Purchase]])/Supermarket_Sales_Case_Study[[#This Row],[Sales_Amount]]</f>
        <v>0.29999999999999899</v>
      </c>
      <c r="P698">
        <f>Supermarket_Sales_Case_Study[[#This Row],[Quantity]]*Supermarket_Sales_Case_Study[[#This Row],[Sales_Amount]]</f>
        <v>5504.2714624127584</v>
      </c>
    </row>
    <row r="699" spans="1:16" x14ac:dyDescent="0.3">
      <c r="A699" t="s">
        <v>729</v>
      </c>
      <c r="B699" t="s">
        <v>21</v>
      </c>
      <c r="C699" t="s">
        <v>15</v>
      </c>
      <c r="D699">
        <v>2394</v>
      </c>
      <c r="E699" t="s">
        <v>16</v>
      </c>
      <c r="F699" t="s">
        <v>17</v>
      </c>
      <c r="G699" t="s">
        <v>31</v>
      </c>
      <c r="H699" s="1">
        <v>45331</v>
      </c>
      <c r="I699">
        <v>26.1022595146536</v>
      </c>
      <c r="J699">
        <v>6</v>
      </c>
      <c r="K699">
        <v>156.61355708792101</v>
      </c>
      <c r="L699">
        <v>46.984067126376502</v>
      </c>
      <c r="M699" t="s">
        <v>24</v>
      </c>
      <c r="N699">
        <f>Supermarket_Sales_Case_Study[[#This Row],[Sales_Amount]]-Supermarket_Sales_Case_Study[[#This Row],[Profit]]</f>
        <v>109.62948996154451</v>
      </c>
      <c r="O699" s="2">
        <f>(Supermarket_Sales_Case_Study[[#This Row],[Sales_Amount]]-Supermarket_Sales_Case_Study[[#This Row],[Purchase]])/Supermarket_Sales_Case_Study[[#This Row],[Sales_Amount]]</f>
        <v>0.30000000000000127</v>
      </c>
      <c r="P699">
        <f>Supermarket_Sales_Case_Study[[#This Row],[Quantity]]*Supermarket_Sales_Case_Study[[#This Row],[Sales_Amount]]</f>
        <v>939.68134252752611</v>
      </c>
    </row>
    <row r="700" spans="1:16" x14ac:dyDescent="0.3">
      <c r="A700" t="s">
        <v>730</v>
      </c>
      <c r="B700" t="s">
        <v>21</v>
      </c>
      <c r="C700" t="s">
        <v>30</v>
      </c>
      <c r="D700">
        <v>1384</v>
      </c>
      <c r="E700" t="s">
        <v>26</v>
      </c>
      <c r="F700" t="s">
        <v>22</v>
      </c>
      <c r="G700" t="s">
        <v>33</v>
      </c>
      <c r="H700" s="1">
        <v>45336</v>
      </c>
      <c r="I700">
        <v>174.854820567302</v>
      </c>
      <c r="J700">
        <v>8</v>
      </c>
      <c r="K700">
        <v>1398.8385645384201</v>
      </c>
      <c r="L700">
        <v>419.65156936152601</v>
      </c>
      <c r="M700" t="s">
        <v>19</v>
      </c>
      <c r="N700">
        <f>Supermarket_Sales_Case_Study[[#This Row],[Sales_Amount]]-Supermarket_Sales_Case_Study[[#This Row],[Profit]]</f>
        <v>979.18699517689402</v>
      </c>
      <c r="O700" s="2">
        <f>(Supermarket_Sales_Case_Study[[#This Row],[Sales_Amount]]-Supermarket_Sales_Case_Study[[#This Row],[Purchase]])/Supermarket_Sales_Case_Study[[#This Row],[Sales_Amount]]</f>
        <v>0.30000000000000004</v>
      </c>
      <c r="P700">
        <f>Supermarket_Sales_Case_Study[[#This Row],[Quantity]]*Supermarket_Sales_Case_Study[[#This Row],[Sales_Amount]]</f>
        <v>11190.708516307361</v>
      </c>
    </row>
    <row r="701" spans="1:16" x14ac:dyDescent="0.3">
      <c r="A701" t="s">
        <v>731</v>
      </c>
      <c r="B701" t="s">
        <v>39</v>
      </c>
      <c r="C701" t="s">
        <v>30</v>
      </c>
      <c r="D701">
        <v>1055</v>
      </c>
      <c r="E701" t="s">
        <v>16</v>
      </c>
      <c r="F701" t="s">
        <v>22</v>
      </c>
      <c r="G701" t="s">
        <v>28</v>
      </c>
      <c r="H701" s="1">
        <v>45295</v>
      </c>
      <c r="I701">
        <v>198.939548165378</v>
      </c>
      <c r="J701">
        <v>3</v>
      </c>
      <c r="K701">
        <v>596.81864449613602</v>
      </c>
      <c r="L701">
        <v>179.04559334883999</v>
      </c>
      <c r="M701" t="s">
        <v>24</v>
      </c>
      <c r="N701">
        <f>Supermarket_Sales_Case_Study[[#This Row],[Sales_Amount]]-Supermarket_Sales_Case_Study[[#This Row],[Profit]]</f>
        <v>417.77305114729603</v>
      </c>
      <c r="O701" s="2">
        <f>(Supermarket_Sales_Case_Study[[#This Row],[Sales_Amount]]-Supermarket_Sales_Case_Study[[#This Row],[Purchase]])/Supermarket_Sales_Case_Study[[#This Row],[Sales_Amount]]</f>
        <v>0.2999999999999986</v>
      </c>
      <c r="P701">
        <f>Supermarket_Sales_Case_Study[[#This Row],[Quantity]]*Supermarket_Sales_Case_Study[[#This Row],[Sales_Amount]]</f>
        <v>1790.4559334884079</v>
      </c>
    </row>
    <row r="702" spans="1:16" x14ac:dyDescent="0.3">
      <c r="A702" t="s">
        <v>732</v>
      </c>
      <c r="B702" t="s">
        <v>14</v>
      </c>
      <c r="C702" t="s">
        <v>15</v>
      </c>
      <c r="D702">
        <v>2276</v>
      </c>
      <c r="E702" t="s">
        <v>26</v>
      </c>
      <c r="F702" t="s">
        <v>17</v>
      </c>
      <c r="G702" t="s">
        <v>18</v>
      </c>
      <c r="H702" s="1">
        <v>45316</v>
      </c>
      <c r="I702">
        <v>71.126620312859501</v>
      </c>
      <c r="J702">
        <v>8</v>
      </c>
      <c r="K702">
        <v>569.01296250287601</v>
      </c>
      <c r="L702">
        <v>170.703888750863</v>
      </c>
      <c r="M702" t="s">
        <v>34</v>
      </c>
      <c r="N702">
        <f>Supermarket_Sales_Case_Study[[#This Row],[Sales_Amount]]-Supermarket_Sales_Case_Study[[#This Row],[Profit]]</f>
        <v>398.30907375201298</v>
      </c>
      <c r="O702" s="2">
        <f>(Supermarket_Sales_Case_Study[[#This Row],[Sales_Amount]]-Supermarket_Sales_Case_Study[[#This Row],[Purchase]])/Supermarket_Sales_Case_Study[[#This Row],[Sales_Amount]]</f>
        <v>0.30000000000000038</v>
      </c>
      <c r="P702">
        <f>Supermarket_Sales_Case_Study[[#This Row],[Quantity]]*Supermarket_Sales_Case_Study[[#This Row],[Sales_Amount]]</f>
        <v>4552.1037000230081</v>
      </c>
    </row>
    <row r="703" spans="1:16" x14ac:dyDescent="0.3">
      <c r="A703" t="s">
        <v>733</v>
      </c>
      <c r="B703" t="s">
        <v>14</v>
      </c>
      <c r="C703" t="s">
        <v>30</v>
      </c>
      <c r="D703">
        <v>1633</v>
      </c>
      <c r="E703" t="s">
        <v>16</v>
      </c>
      <c r="F703" t="s">
        <v>22</v>
      </c>
      <c r="G703" t="s">
        <v>33</v>
      </c>
      <c r="H703" s="1">
        <v>45360</v>
      </c>
      <c r="I703">
        <v>171.372299689382</v>
      </c>
      <c r="J703">
        <v>2</v>
      </c>
      <c r="K703">
        <v>342.74459937876401</v>
      </c>
      <c r="L703">
        <v>102.823379813629</v>
      </c>
      <c r="M703" t="s">
        <v>24</v>
      </c>
      <c r="N703">
        <f>Supermarket_Sales_Case_Study[[#This Row],[Sales_Amount]]-Supermarket_Sales_Case_Study[[#This Row],[Profit]]</f>
        <v>239.921219565135</v>
      </c>
      <c r="O703" s="2">
        <f>(Supermarket_Sales_Case_Study[[#This Row],[Sales_Amount]]-Supermarket_Sales_Case_Study[[#This Row],[Purchase]])/Supermarket_Sales_Case_Study[[#This Row],[Sales_Amount]]</f>
        <v>0.29999999999999943</v>
      </c>
      <c r="P703">
        <f>Supermarket_Sales_Case_Study[[#This Row],[Quantity]]*Supermarket_Sales_Case_Study[[#This Row],[Sales_Amount]]</f>
        <v>685.48919875752802</v>
      </c>
    </row>
    <row r="704" spans="1:16" x14ac:dyDescent="0.3">
      <c r="A704" t="s">
        <v>734</v>
      </c>
      <c r="B704" t="s">
        <v>21</v>
      </c>
      <c r="C704" t="s">
        <v>36</v>
      </c>
      <c r="D704">
        <v>1105</v>
      </c>
      <c r="E704" t="s">
        <v>16</v>
      </c>
      <c r="F704" t="s">
        <v>17</v>
      </c>
      <c r="G704" t="s">
        <v>23</v>
      </c>
      <c r="H704" s="1">
        <v>45321</v>
      </c>
      <c r="I704">
        <v>258.38308680114602</v>
      </c>
      <c r="J704">
        <v>4</v>
      </c>
      <c r="K704">
        <v>1033.53234720458</v>
      </c>
      <c r="L704">
        <v>310.05970416137501</v>
      </c>
      <c r="M704" t="s">
        <v>34</v>
      </c>
      <c r="N704">
        <f>Supermarket_Sales_Case_Study[[#This Row],[Sales_Amount]]-Supermarket_Sales_Case_Study[[#This Row],[Profit]]</f>
        <v>723.47264304320493</v>
      </c>
      <c r="O704" s="2">
        <f>(Supermarket_Sales_Case_Study[[#This Row],[Sales_Amount]]-Supermarket_Sales_Case_Study[[#This Row],[Purchase]])/Supermarket_Sales_Case_Study[[#This Row],[Sales_Amount]]</f>
        <v>0.30000000000000104</v>
      </c>
      <c r="P704">
        <f>Supermarket_Sales_Case_Study[[#This Row],[Quantity]]*Supermarket_Sales_Case_Study[[#This Row],[Sales_Amount]]</f>
        <v>4134.12938881832</v>
      </c>
    </row>
    <row r="705" spans="1:16" x14ac:dyDescent="0.3">
      <c r="A705" t="s">
        <v>735</v>
      </c>
      <c r="B705" t="s">
        <v>21</v>
      </c>
      <c r="C705" t="s">
        <v>36</v>
      </c>
      <c r="D705">
        <v>2153</v>
      </c>
      <c r="E705" t="s">
        <v>26</v>
      </c>
      <c r="F705" t="s">
        <v>17</v>
      </c>
      <c r="G705" t="s">
        <v>23</v>
      </c>
      <c r="H705" s="1">
        <v>45367</v>
      </c>
      <c r="I705">
        <v>252.169124181955</v>
      </c>
      <c r="J705">
        <v>3</v>
      </c>
      <c r="K705">
        <v>756.50737254586704</v>
      </c>
      <c r="L705">
        <v>226.95221176376</v>
      </c>
      <c r="M705" t="s">
        <v>34</v>
      </c>
      <c r="N705">
        <f>Supermarket_Sales_Case_Study[[#This Row],[Sales_Amount]]-Supermarket_Sales_Case_Study[[#This Row],[Profit]]</f>
        <v>529.55516078210701</v>
      </c>
      <c r="O705" s="2">
        <f>(Supermarket_Sales_Case_Study[[#This Row],[Sales_Amount]]-Supermarket_Sales_Case_Study[[#This Row],[Purchase]])/Supermarket_Sales_Case_Study[[#This Row],[Sales_Amount]]</f>
        <v>0.29999999999999988</v>
      </c>
      <c r="P705">
        <f>Supermarket_Sales_Case_Study[[#This Row],[Quantity]]*Supermarket_Sales_Case_Study[[#This Row],[Sales_Amount]]</f>
        <v>2269.5221176376012</v>
      </c>
    </row>
    <row r="706" spans="1:16" x14ac:dyDescent="0.3">
      <c r="A706" t="s">
        <v>736</v>
      </c>
      <c r="B706" t="s">
        <v>39</v>
      </c>
      <c r="C706" t="s">
        <v>30</v>
      </c>
      <c r="D706">
        <v>1848</v>
      </c>
      <c r="E706" t="s">
        <v>26</v>
      </c>
      <c r="F706" t="s">
        <v>22</v>
      </c>
      <c r="G706" t="s">
        <v>37</v>
      </c>
      <c r="H706" s="1">
        <v>45359</v>
      </c>
      <c r="I706">
        <v>278.93300237002597</v>
      </c>
      <c r="J706">
        <v>1</v>
      </c>
      <c r="K706">
        <v>278.93300237002597</v>
      </c>
      <c r="L706">
        <v>83.679900711007804</v>
      </c>
      <c r="M706" t="s">
        <v>24</v>
      </c>
      <c r="N706">
        <f>Supermarket_Sales_Case_Study[[#This Row],[Sales_Amount]]-Supermarket_Sales_Case_Study[[#This Row],[Profit]]</f>
        <v>195.25310165901817</v>
      </c>
      <c r="O706" s="2">
        <f>(Supermarket_Sales_Case_Study[[#This Row],[Sales_Amount]]-Supermarket_Sales_Case_Study[[#This Row],[Purchase]])/Supermarket_Sales_Case_Study[[#This Row],[Sales_Amount]]</f>
        <v>0.30000000000000004</v>
      </c>
      <c r="P706">
        <f>Supermarket_Sales_Case_Study[[#This Row],[Quantity]]*Supermarket_Sales_Case_Study[[#This Row],[Sales_Amount]]</f>
        <v>278.93300237002597</v>
      </c>
    </row>
    <row r="707" spans="1:16" x14ac:dyDescent="0.3">
      <c r="A707" t="s">
        <v>737</v>
      </c>
      <c r="B707" t="s">
        <v>39</v>
      </c>
      <c r="C707" t="s">
        <v>15</v>
      </c>
      <c r="D707">
        <v>1669</v>
      </c>
      <c r="E707" t="s">
        <v>26</v>
      </c>
      <c r="F707" t="s">
        <v>17</v>
      </c>
      <c r="G707" t="s">
        <v>31</v>
      </c>
      <c r="H707" s="1">
        <v>45379</v>
      </c>
      <c r="I707">
        <v>116.106884771495</v>
      </c>
      <c r="J707">
        <v>7</v>
      </c>
      <c r="K707">
        <v>812.74819340046702</v>
      </c>
      <c r="L707">
        <v>243.82445802014001</v>
      </c>
      <c r="M707" t="s">
        <v>24</v>
      </c>
      <c r="N707">
        <f>Supermarket_Sales_Case_Study[[#This Row],[Sales_Amount]]-Supermarket_Sales_Case_Study[[#This Row],[Profit]]</f>
        <v>568.923735380327</v>
      </c>
      <c r="O707" s="2">
        <f>(Supermarket_Sales_Case_Study[[#This Row],[Sales_Amount]]-Supermarket_Sales_Case_Study[[#This Row],[Purchase]])/Supermarket_Sales_Case_Study[[#This Row],[Sales_Amount]]</f>
        <v>0.29999999999999988</v>
      </c>
      <c r="P707">
        <f>Supermarket_Sales_Case_Study[[#This Row],[Quantity]]*Supermarket_Sales_Case_Study[[#This Row],[Sales_Amount]]</f>
        <v>5689.2373538032689</v>
      </c>
    </row>
    <row r="708" spans="1:16" x14ac:dyDescent="0.3">
      <c r="A708" t="s">
        <v>738</v>
      </c>
      <c r="B708" t="s">
        <v>14</v>
      </c>
      <c r="C708" t="s">
        <v>30</v>
      </c>
      <c r="D708">
        <v>1375</v>
      </c>
      <c r="E708" t="s">
        <v>26</v>
      </c>
      <c r="F708" t="s">
        <v>17</v>
      </c>
      <c r="G708" t="s">
        <v>23</v>
      </c>
      <c r="H708" s="1">
        <v>45320</v>
      </c>
      <c r="I708">
        <v>102.234376039766</v>
      </c>
      <c r="J708">
        <v>2</v>
      </c>
      <c r="K708">
        <v>204.46875207953201</v>
      </c>
      <c r="L708">
        <v>61.3406256238598</v>
      </c>
      <c r="M708" t="s">
        <v>34</v>
      </c>
      <c r="N708">
        <f>Supermarket_Sales_Case_Study[[#This Row],[Sales_Amount]]-Supermarket_Sales_Case_Study[[#This Row],[Profit]]</f>
        <v>143.1281264556722</v>
      </c>
      <c r="O708" s="2">
        <f>(Supermarket_Sales_Case_Study[[#This Row],[Sales_Amount]]-Supermarket_Sales_Case_Study[[#This Row],[Purchase]])/Supermarket_Sales_Case_Study[[#This Row],[Sales_Amount]]</f>
        <v>0.30000000000000099</v>
      </c>
      <c r="P708">
        <f>Supermarket_Sales_Case_Study[[#This Row],[Quantity]]*Supermarket_Sales_Case_Study[[#This Row],[Sales_Amount]]</f>
        <v>408.93750415906402</v>
      </c>
    </row>
    <row r="709" spans="1:16" x14ac:dyDescent="0.3">
      <c r="A709" t="s">
        <v>739</v>
      </c>
      <c r="B709" t="s">
        <v>14</v>
      </c>
      <c r="C709" t="s">
        <v>30</v>
      </c>
      <c r="D709">
        <v>1742</v>
      </c>
      <c r="E709" t="s">
        <v>16</v>
      </c>
      <c r="F709" t="s">
        <v>22</v>
      </c>
      <c r="G709" t="s">
        <v>33</v>
      </c>
      <c r="H709" s="1">
        <v>45364</v>
      </c>
      <c r="I709">
        <v>227.33354173443399</v>
      </c>
      <c r="J709">
        <v>4</v>
      </c>
      <c r="K709">
        <v>909.33416693773802</v>
      </c>
      <c r="L709">
        <v>272.800250081321</v>
      </c>
      <c r="M709" t="s">
        <v>19</v>
      </c>
      <c r="N709">
        <f>Supermarket_Sales_Case_Study[[#This Row],[Sales_Amount]]-Supermarket_Sales_Case_Study[[#This Row],[Profit]]</f>
        <v>636.53391685641702</v>
      </c>
      <c r="O709" s="2">
        <f>(Supermarket_Sales_Case_Study[[#This Row],[Sales_Amount]]-Supermarket_Sales_Case_Study[[#This Row],[Purchase]])/Supermarket_Sales_Case_Study[[#This Row],[Sales_Amount]]</f>
        <v>0.29999999999999954</v>
      </c>
      <c r="P709">
        <f>Supermarket_Sales_Case_Study[[#This Row],[Quantity]]*Supermarket_Sales_Case_Study[[#This Row],[Sales_Amount]]</f>
        <v>3637.3366677509521</v>
      </c>
    </row>
    <row r="710" spans="1:16" x14ac:dyDescent="0.3">
      <c r="A710" t="s">
        <v>740</v>
      </c>
      <c r="B710" t="s">
        <v>21</v>
      </c>
      <c r="C710" t="s">
        <v>15</v>
      </c>
      <c r="D710">
        <v>1966</v>
      </c>
      <c r="E710" t="s">
        <v>26</v>
      </c>
      <c r="F710" t="s">
        <v>22</v>
      </c>
      <c r="G710" t="s">
        <v>23</v>
      </c>
      <c r="H710" s="1">
        <v>45359</v>
      </c>
      <c r="I710">
        <v>135.02259747813099</v>
      </c>
      <c r="J710">
        <v>9</v>
      </c>
      <c r="K710">
        <v>1215.2033773031801</v>
      </c>
      <c r="L710">
        <v>364.56101319095399</v>
      </c>
      <c r="M710" t="s">
        <v>24</v>
      </c>
      <c r="N710">
        <f>Supermarket_Sales_Case_Study[[#This Row],[Sales_Amount]]-Supermarket_Sales_Case_Study[[#This Row],[Profit]]</f>
        <v>850.64236411222612</v>
      </c>
      <c r="O710" s="2">
        <f>(Supermarket_Sales_Case_Study[[#This Row],[Sales_Amount]]-Supermarket_Sales_Case_Study[[#This Row],[Purchase]])/Supermarket_Sales_Case_Study[[#This Row],[Sales_Amount]]</f>
        <v>0.3</v>
      </c>
      <c r="P710">
        <f>Supermarket_Sales_Case_Study[[#This Row],[Quantity]]*Supermarket_Sales_Case_Study[[#This Row],[Sales_Amount]]</f>
        <v>10936.830395728621</v>
      </c>
    </row>
    <row r="711" spans="1:16" x14ac:dyDescent="0.3">
      <c r="A711" t="s">
        <v>741</v>
      </c>
      <c r="B711" t="s">
        <v>14</v>
      </c>
      <c r="C711" t="s">
        <v>15</v>
      </c>
      <c r="D711">
        <v>1307</v>
      </c>
      <c r="E711" t="s">
        <v>16</v>
      </c>
      <c r="F711" t="s">
        <v>17</v>
      </c>
      <c r="G711" t="s">
        <v>33</v>
      </c>
      <c r="H711" s="1">
        <v>45342</v>
      </c>
      <c r="I711">
        <v>35.389112568056298</v>
      </c>
      <c r="J711">
        <v>6</v>
      </c>
      <c r="K711">
        <v>212.334675408338</v>
      </c>
      <c r="L711">
        <v>63.7004026225014</v>
      </c>
      <c r="M711" t="s">
        <v>34</v>
      </c>
      <c r="N711">
        <f>Supermarket_Sales_Case_Study[[#This Row],[Sales_Amount]]-Supermarket_Sales_Case_Study[[#This Row],[Profit]]</f>
        <v>148.6342727858366</v>
      </c>
      <c r="O711" s="2">
        <f>(Supermarket_Sales_Case_Study[[#This Row],[Sales_Amount]]-Supermarket_Sales_Case_Study[[#This Row],[Purchase]])/Supermarket_Sales_Case_Study[[#This Row],[Sales_Amount]]</f>
        <v>0.3</v>
      </c>
      <c r="P711">
        <f>Supermarket_Sales_Case_Study[[#This Row],[Quantity]]*Supermarket_Sales_Case_Study[[#This Row],[Sales_Amount]]</f>
        <v>1274.0080524500281</v>
      </c>
    </row>
    <row r="712" spans="1:16" x14ac:dyDescent="0.3">
      <c r="A712" t="s">
        <v>742</v>
      </c>
      <c r="B712" t="s">
        <v>39</v>
      </c>
      <c r="C712" t="s">
        <v>36</v>
      </c>
      <c r="D712">
        <v>1090</v>
      </c>
      <c r="E712" t="s">
        <v>26</v>
      </c>
      <c r="F712" t="s">
        <v>17</v>
      </c>
      <c r="G712" t="s">
        <v>18</v>
      </c>
      <c r="H712" s="1">
        <v>45315</v>
      </c>
      <c r="I712">
        <v>92.012327894444894</v>
      </c>
      <c r="J712">
        <v>8</v>
      </c>
      <c r="K712">
        <v>736.09862315555904</v>
      </c>
      <c r="L712">
        <v>220.82958694666701</v>
      </c>
      <c r="M712" t="s">
        <v>34</v>
      </c>
      <c r="N712">
        <f>Supermarket_Sales_Case_Study[[#This Row],[Sales_Amount]]-Supermarket_Sales_Case_Study[[#This Row],[Profit]]</f>
        <v>515.26903620889198</v>
      </c>
      <c r="O712" s="2">
        <f>(Supermarket_Sales_Case_Study[[#This Row],[Sales_Amount]]-Supermarket_Sales_Case_Study[[#This Row],[Purchase]])/Supermarket_Sales_Case_Study[[#This Row],[Sales_Amount]]</f>
        <v>0.2999999999999991</v>
      </c>
      <c r="P712">
        <f>Supermarket_Sales_Case_Study[[#This Row],[Quantity]]*Supermarket_Sales_Case_Study[[#This Row],[Sales_Amount]]</f>
        <v>5888.7889852444723</v>
      </c>
    </row>
    <row r="713" spans="1:16" x14ac:dyDescent="0.3">
      <c r="A713" t="s">
        <v>743</v>
      </c>
      <c r="B713" t="s">
        <v>39</v>
      </c>
      <c r="C713" t="s">
        <v>15</v>
      </c>
      <c r="D713">
        <v>2416</v>
      </c>
      <c r="E713" t="s">
        <v>16</v>
      </c>
      <c r="F713" t="s">
        <v>22</v>
      </c>
      <c r="G713" t="s">
        <v>37</v>
      </c>
      <c r="H713" s="1">
        <v>45305</v>
      </c>
      <c r="I713">
        <v>131.38886280413101</v>
      </c>
      <c r="J713">
        <v>2</v>
      </c>
      <c r="K713">
        <v>262.77772560826298</v>
      </c>
      <c r="L713">
        <v>78.833317682479105</v>
      </c>
      <c r="M713" t="s">
        <v>19</v>
      </c>
      <c r="N713">
        <f>Supermarket_Sales_Case_Study[[#This Row],[Sales_Amount]]-Supermarket_Sales_Case_Study[[#This Row],[Profit]]</f>
        <v>183.94440792578388</v>
      </c>
      <c r="O713" s="2">
        <f>(Supermarket_Sales_Case_Study[[#This Row],[Sales_Amount]]-Supermarket_Sales_Case_Study[[#This Row],[Purchase]])/Supermarket_Sales_Case_Study[[#This Row],[Sales_Amount]]</f>
        <v>0.30000000000000082</v>
      </c>
      <c r="P713">
        <f>Supermarket_Sales_Case_Study[[#This Row],[Quantity]]*Supermarket_Sales_Case_Study[[#This Row],[Sales_Amount]]</f>
        <v>525.55545121652597</v>
      </c>
    </row>
    <row r="714" spans="1:16" x14ac:dyDescent="0.3">
      <c r="A714" t="s">
        <v>744</v>
      </c>
      <c r="B714" t="s">
        <v>21</v>
      </c>
      <c r="C714" t="s">
        <v>36</v>
      </c>
      <c r="D714">
        <v>1801</v>
      </c>
      <c r="E714" t="s">
        <v>16</v>
      </c>
      <c r="F714" t="s">
        <v>17</v>
      </c>
      <c r="G714" t="s">
        <v>31</v>
      </c>
      <c r="H714" s="1">
        <v>45360</v>
      </c>
      <c r="I714">
        <v>94.829763388112994</v>
      </c>
      <c r="J714">
        <v>7</v>
      </c>
      <c r="K714">
        <v>663.808343716791</v>
      </c>
      <c r="L714">
        <v>199.14250311503699</v>
      </c>
      <c r="M714" t="s">
        <v>24</v>
      </c>
      <c r="N714">
        <f>Supermarket_Sales_Case_Study[[#This Row],[Sales_Amount]]-Supermarket_Sales_Case_Study[[#This Row],[Profit]]</f>
        <v>464.66584060175398</v>
      </c>
      <c r="O714" s="2">
        <f>(Supermarket_Sales_Case_Study[[#This Row],[Sales_Amount]]-Supermarket_Sales_Case_Study[[#This Row],[Purchase]])/Supermarket_Sales_Case_Study[[#This Row],[Sales_Amount]]</f>
        <v>0.29999999999999954</v>
      </c>
      <c r="P714">
        <f>Supermarket_Sales_Case_Study[[#This Row],[Quantity]]*Supermarket_Sales_Case_Study[[#This Row],[Sales_Amount]]</f>
        <v>4646.6584060175373</v>
      </c>
    </row>
    <row r="715" spans="1:16" x14ac:dyDescent="0.3">
      <c r="A715" t="s">
        <v>745</v>
      </c>
      <c r="B715" t="s">
        <v>39</v>
      </c>
      <c r="C715" t="s">
        <v>15</v>
      </c>
      <c r="D715">
        <v>1109</v>
      </c>
      <c r="E715" t="s">
        <v>16</v>
      </c>
      <c r="F715" t="s">
        <v>17</v>
      </c>
      <c r="G715" t="s">
        <v>23</v>
      </c>
      <c r="H715" s="1">
        <v>45309</v>
      </c>
      <c r="I715">
        <v>106.339615574723</v>
      </c>
      <c r="J715">
        <v>6</v>
      </c>
      <c r="K715">
        <v>638.03769344833904</v>
      </c>
      <c r="L715">
        <v>191.41130803450099</v>
      </c>
      <c r="M715" t="s">
        <v>34</v>
      </c>
      <c r="N715">
        <f>Supermarket_Sales_Case_Study[[#This Row],[Sales_Amount]]-Supermarket_Sales_Case_Study[[#This Row],[Profit]]</f>
        <v>446.62638541383808</v>
      </c>
      <c r="O715" s="2">
        <f>(Supermarket_Sales_Case_Study[[#This Row],[Sales_Amount]]-Supermarket_Sales_Case_Study[[#This Row],[Purchase]])/Supermarket_Sales_Case_Study[[#This Row],[Sales_Amount]]</f>
        <v>0.29999999999999882</v>
      </c>
      <c r="P715">
        <f>Supermarket_Sales_Case_Study[[#This Row],[Quantity]]*Supermarket_Sales_Case_Study[[#This Row],[Sales_Amount]]</f>
        <v>3828.2261606900342</v>
      </c>
    </row>
    <row r="716" spans="1:16" x14ac:dyDescent="0.3">
      <c r="A716" t="s">
        <v>746</v>
      </c>
      <c r="B716" t="s">
        <v>39</v>
      </c>
      <c r="C716" t="s">
        <v>30</v>
      </c>
      <c r="D716">
        <v>1584</v>
      </c>
      <c r="E716" t="s">
        <v>16</v>
      </c>
      <c r="F716" t="s">
        <v>17</v>
      </c>
      <c r="G716" t="s">
        <v>33</v>
      </c>
      <c r="H716" s="1">
        <v>45333</v>
      </c>
      <c r="I716">
        <v>95.195012790573301</v>
      </c>
      <c r="J716">
        <v>9</v>
      </c>
      <c r="K716">
        <v>856.75511511515901</v>
      </c>
      <c r="L716">
        <v>257.02653453454701</v>
      </c>
      <c r="M716" t="s">
        <v>19</v>
      </c>
      <c r="N716">
        <f>Supermarket_Sales_Case_Study[[#This Row],[Sales_Amount]]-Supermarket_Sales_Case_Study[[#This Row],[Profit]]</f>
        <v>599.72858058061206</v>
      </c>
      <c r="O716" s="2">
        <f>(Supermarket_Sales_Case_Study[[#This Row],[Sales_Amount]]-Supermarket_Sales_Case_Study[[#This Row],[Purchase]])/Supermarket_Sales_Case_Study[[#This Row],[Sales_Amount]]</f>
        <v>0.2999999999999991</v>
      </c>
      <c r="P716">
        <f>Supermarket_Sales_Case_Study[[#This Row],[Quantity]]*Supermarket_Sales_Case_Study[[#This Row],[Sales_Amount]]</f>
        <v>7710.7960360364314</v>
      </c>
    </row>
    <row r="717" spans="1:16" x14ac:dyDescent="0.3">
      <c r="A717" t="s">
        <v>747</v>
      </c>
      <c r="B717" t="s">
        <v>39</v>
      </c>
      <c r="C717" t="s">
        <v>36</v>
      </c>
      <c r="D717">
        <v>1339</v>
      </c>
      <c r="E717" t="s">
        <v>16</v>
      </c>
      <c r="F717" t="s">
        <v>17</v>
      </c>
      <c r="G717" t="s">
        <v>28</v>
      </c>
      <c r="H717" s="1">
        <v>45348</v>
      </c>
      <c r="I717">
        <v>22.034758483093</v>
      </c>
      <c r="J717">
        <v>7</v>
      </c>
      <c r="K717">
        <v>154.24330938165099</v>
      </c>
      <c r="L717">
        <v>46.272992814495304</v>
      </c>
      <c r="M717" t="s">
        <v>34</v>
      </c>
      <c r="N717">
        <f>Supermarket_Sales_Case_Study[[#This Row],[Sales_Amount]]-Supermarket_Sales_Case_Study[[#This Row],[Profit]]</f>
        <v>107.97031656715569</v>
      </c>
      <c r="O717" s="2">
        <f>(Supermarket_Sales_Case_Study[[#This Row],[Sales_Amount]]-Supermarket_Sales_Case_Study[[#This Row],[Purchase]])/Supermarket_Sales_Case_Study[[#This Row],[Sales_Amount]]</f>
        <v>0.3</v>
      </c>
      <c r="P717">
        <f>Supermarket_Sales_Case_Study[[#This Row],[Quantity]]*Supermarket_Sales_Case_Study[[#This Row],[Sales_Amount]]</f>
        <v>1079.7031656715569</v>
      </c>
    </row>
    <row r="718" spans="1:16" x14ac:dyDescent="0.3">
      <c r="A718" t="s">
        <v>748</v>
      </c>
      <c r="B718" t="s">
        <v>39</v>
      </c>
      <c r="C718" t="s">
        <v>36</v>
      </c>
      <c r="D718">
        <v>1978</v>
      </c>
      <c r="E718" t="s">
        <v>16</v>
      </c>
      <c r="F718" t="s">
        <v>17</v>
      </c>
      <c r="G718" t="s">
        <v>31</v>
      </c>
      <c r="H718" s="1">
        <v>45374</v>
      </c>
      <c r="I718">
        <v>194.757463239088</v>
      </c>
      <c r="J718">
        <v>1</v>
      </c>
      <c r="K718">
        <v>194.757463239088</v>
      </c>
      <c r="L718">
        <v>58.427238971726403</v>
      </c>
      <c r="M718" t="s">
        <v>24</v>
      </c>
      <c r="N718">
        <f>Supermarket_Sales_Case_Study[[#This Row],[Sales_Amount]]-Supermarket_Sales_Case_Study[[#This Row],[Profit]]</f>
        <v>136.33022426736159</v>
      </c>
      <c r="O718" s="2">
        <f>(Supermarket_Sales_Case_Study[[#This Row],[Sales_Amount]]-Supermarket_Sales_Case_Study[[#This Row],[Purchase]])/Supermarket_Sales_Case_Study[[#This Row],[Sales_Amount]]</f>
        <v>0.30000000000000004</v>
      </c>
      <c r="P718">
        <f>Supermarket_Sales_Case_Study[[#This Row],[Quantity]]*Supermarket_Sales_Case_Study[[#This Row],[Sales_Amount]]</f>
        <v>194.757463239088</v>
      </c>
    </row>
    <row r="719" spans="1:16" x14ac:dyDescent="0.3">
      <c r="A719" t="s">
        <v>749</v>
      </c>
      <c r="B719" t="s">
        <v>21</v>
      </c>
      <c r="C719" t="s">
        <v>36</v>
      </c>
      <c r="D719">
        <v>1355</v>
      </c>
      <c r="E719" t="s">
        <v>26</v>
      </c>
      <c r="F719" t="s">
        <v>17</v>
      </c>
      <c r="G719" t="s">
        <v>18</v>
      </c>
      <c r="H719" s="1">
        <v>45303</v>
      </c>
      <c r="I719">
        <v>183.214801902506</v>
      </c>
      <c r="J719">
        <v>8</v>
      </c>
      <c r="K719">
        <v>1465.71841522004</v>
      </c>
      <c r="L719">
        <v>439.71552456601398</v>
      </c>
      <c r="M719" t="s">
        <v>19</v>
      </c>
      <c r="N719">
        <f>Supermarket_Sales_Case_Study[[#This Row],[Sales_Amount]]-Supermarket_Sales_Case_Study[[#This Row],[Profit]]</f>
        <v>1026.002890654026</v>
      </c>
      <c r="O719" s="2">
        <f>(Supermarket_Sales_Case_Study[[#This Row],[Sales_Amount]]-Supermarket_Sales_Case_Study[[#This Row],[Purchase]])/Supermarket_Sales_Case_Study[[#This Row],[Sales_Amount]]</f>
        <v>0.30000000000000138</v>
      </c>
      <c r="P719">
        <f>Supermarket_Sales_Case_Study[[#This Row],[Quantity]]*Supermarket_Sales_Case_Study[[#This Row],[Sales_Amount]]</f>
        <v>11725.74732176032</v>
      </c>
    </row>
    <row r="720" spans="1:16" x14ac:dyDescent="0.3">
      <c r="A720" t="s">
        <v>750</v>
      </c>
      <c r="B720" t="s">
        <v>21</v>
      </c>
      <c r="C720" t="s">
        <v>30</v>
      </c>
      <c r="D720">
        <v>1167</v>
      </c>
      <c r="E720" t="s">
        <v>16</v>
      </c>
      <c r="F720" t="s">
        <v>17</v>
      </c>
      <c r="G720" t="s">
        <v>33</v>
      </c>
      <c r="H720" s="1">
        <v>45373</v>
      </c>
      <c r="I720">
        <v>199.48121455881699</v>
      </c>
      <c r="J720">
        <v>3</v>
      </c>
      <c r="K720">
        <v>598.44364367645198</v>
      </c>
      <c r="L720">
        <v>179.533093102935</v>
      </c>
      <c r="M720" t="s">
        <v>34</v>
      </c>
      <c r="N720">
        <f>Supermarket_Sales_Case_Study[[#This Row],[Sales_Amount]]-Supermarket_Sales_Case_Study[[#This Row],[Profit]]</f>
        <v>418.91055057351696</v>
      </c>
      <c r="O720" s="2">
        <f>(Supermarket_Sales_Case_Study[[#This Row],[Sales_Amount]]-Supermarket_Sales_Case_Study[[#This Row],[Purchase]])/Supermarket_Sales_Case_Study[[#This Row],[Sales_Amount]]</f>
        <v>0.29999999999999905</v>
      </c>
      <c r="P720">
        <f>Supermarket_Sales_Case_Study[[#This Row],[Quantity]]*Supermarket_Sales_Case_Study[[#This Row],[Sales_Amount]]</f>
        <v>1795.330931029356</v>
      </c>
    </row>
    <row r="721" spans="1:16" x14ac:dyDescent="0.3">
      <c r="A721" t="s">
        <v>751</v>
      </c>
      <c r="B721" t="s">
        <v>14</v>
      </c>
      <c r="C721" t="s">
        <v>30</v>
      </c>
      <c r="D721">
        <v>1556</v>
      </c>
      <c r="E721" t="s">
        <v>26</v>
      </c>
      <c r="F721" t="s">
        <v>22</v>
      </c>
      <c r="G721" t="s">
        <v>37</v>
      </c>
      <c r="H721" s="1">
        <v>45308</v>
      </c>
      <c r="I721">
        <v>65.769869849751899</v>
      </c>
      <c r="J721">
        <v>2</v>
      </c>
      <c r="K721">
        <v>131.539739699503</v>
      </c>
      <c r="L721">
        <v>39.4619219098511</v>
      </c>
      <c r="M721" t="s">
        <v>19</v>
      </c>
      <c r="N721">
        <f>Supermarket_Sales_Case_Study[[#This Row],[Sales_Amount]]-Supermarket_Sales_Case_Study[[#This Row],[Profit]]</f>
        <v>92.077817789651903</v>
      </c>
      <c r="O721" s="2">
        <f>(Supermarket_Sales_Case_Study[[#This Row],[Sales_Amount]]-Supermarket_Sales_Case_Study[[#This Row],[Purchase]])/Supermarket_Sales_Case_Study[[#This Row],[Sales_Amount]]</f>
        <v>0.30000000000000149</v>
      </c>
      <c r="P721">
        <f>Supermarket_Sales_Case_Study[[#This Row],[Quantity]]*Supermarket_Sales_Case_Study[[#This Row],[Sales_Amount]]</f>
        <v>263.079479399006</v>
      </c>
    </row>
    <row r="722" spans="1:16" x14ac:dyDescent="0.3">
      <c r="A722" t="s">
        <v>752</v>
      </c>
      <c r="B722" t="s">
        <v>39</v>
      </c>
      <c r="C722" t="s">
        <v>30</v>
      </c>
      <c r="D722">
        <v>2475</v>
      </c>
      <c r="E722" t="s">
        <v>26</v>
      </c>
      <c r="F722" t="s">
        <v>22</v>
      </c>
      <c r="G722" t="s">
        <v>37</v>
      </c>
      <c r="H722" s="1">
        <v>45321</v>
      </c>
      <c r="I722">
        <v>95.739817067620706</v>
      </c>
      <c r="J722">
        <v>3</v>
      </c>
      <c r="K722">
        <v>287.21945120286199</v>
      </c>
      <c r="L722">
        <v>86.165835360858594</v>
      </c>
      <c r="M722" t="s">
        <v>24</v>
      </c>
      <c r="N722">
        <f>Supermarket_Sales_Case_Study[[#This Row],[Sales_Amount]]-Supermarket_Sales_Case_Study[[#This Row],[Profit]]</f>
        <v>201.05361584200341</v>
      </c>
      <c r="O722" s="2">
        <f>(Supermarket_Sales_Case_Study[[#This Row],[Sales_Amount]]-Supermarket_Sales_Case_Study[[#This Row],[Purchase]])/Supermarket_Sales_Case_Study[[#This Row],[Sales_Amount]]</f>
        <v>0.29999999999999993</v>
      </c>
      <c r="P722">
        <f>Supermarket_Sales_Case_Study[[#This Row],[Quantity]]*Supermarket_Sales_Case_Study[[#This Row],[Sales_Amount]]</f>
        <v>861.65835360858591</v>
      </c>
    </row>
    <row r="723" spans="1:16" x14ac:dyDescent="0.3">
      <c r="A723" t="s">
        <v>753</v>
      </c>
      <c r="B723" t="s">
        <v>14</v>
      </c>
      <c r="C723" t="s">
        <v>30</v>
      </c>
      <c r="D723">
        <v>1904</v>
      </c>
      <c r="E723" t="s">
        <v>16</v>
      </c>
      <c r="F723" t="s">
        <v>22</v>
      </c>
      <c r="G723" t="s">
        <v>18</v>
      </c>
      <c r="H723" s="1">
        <v>45379</v>
      </c>
      <c r="I723">
        <v>189.688618814027</v>
      </c>
      <c r="J723">
        <v>6</v>
      </c>
      <c r="K723">
        <v>1138.1317128841599</v>
      </c>
      <c r="L723">
        <v>341.43951386524901</v>
      </c>
      <c r="M723" t="s">
        <v>19</v>
      </c>
      <c r="N723">
        <f>Supermarket_Sales_Case_Study[[#This Row],[Sales_Amount]]-Supermarket_Sales_Case_Study[[#This Row],[Profit]]</f>
        <v>796.69219901891097</v>
      </c>
      <c r="O723" s="2">
        <f>(Supermarket_Sales_Case_Study[[#This Row],[Sales_Amount]]-Supermarket_Sales_Case_Study[[#This Row],[Purchase]])/Supermarket_Sales_Case_Study[[#This Row],[Sales_Amount]]</f>
        <v>0.30000000000000088</v>
      </c>
      <c r="P723">
        <f>Supermarket_Sales_Case_Study[[#This Row],[Quantity]]*Supermarket_Sales_Case_Study[[#This Row],[Sales_Amount]]</f>
        <v>6828.7902773049591</v>
      </c>
    </row>
    <row r="724" spans="1:16" x14ac:dyDescent="0.3">
      <c r="A724" t="s">
        <v>754</v>
      </c>
      <c r="B724" t="s">
        <v>21</v>
      </c>
      <c r="C724" t="s">
        <v>30</v>
      </c>
      <c r="D724">
        <v>1104</v>
      </c>
      <c r="E724" t="s">
        <v>26</v>
      </c>
      <c r="F724" t="s">
        <v>22</v>
      </c>
      <c r="G724" t="s">
        <v>18</v>
      </c>
      <c r="H724" s="1">
        <v>45366</v>
      </c>
      <c r="I724">
        <v>183.89199485337701</v>
      </c>
      <c r="J724">
        <v>3</v>
      </c>
      <c r="K724">
        <v>551.67598456013104</v>
      </c>
      <c r="L724">
        <v>165.50279536803899</v>
      </c>
      <c r="M724" t="s">
        <v>24</v>
      </c>
      <c r="N724">
        <f>Supermarket_Sales_Case_Study[[#This Row],[Sales_Amount]]-Supermarket_Sales_Case_Study[[#This Row],[Profit]]</f>
        <v>386.17318919209208</v>
      </c>
      <c r="O724" s="2">
        <f>(Supermarket_Sales_Case_Study[[#This Row],[Sales_Amount]]-Supermarket_Sales_Case_Study[[#This Row],[Purchase]])/Supermarket_Sales_Case_Study[[#This Row],[Sales_Amount]]</f>
        <v>0.29999999999999938</v>
      </c>
      <c r="P724">
        <f>Supermarket_Sales_Case_Study[[#This Row],[Quantity]]*Supermarket_Sales_Case_Study[[#This Row],[Sales_Amount]]</f>
        <v>1655.0279536803932</v>
      </c>
    </row>
    <row r="725" spans="1:16" x14ac:dyDescent="0.3">
      <c r="A725" t="s">
        <v>755</v>
      </c>
      <c r="B725" t="s">
        <v>21</v>
      </c>
      <c r="C725" t="s">
        <v>36</v>
      </c>
      <c r="D725">
        <v>1149</v>
      </c>
      <c r="E725" t="s">
        <v>16</v>
      </c>
      <c r="F725" t="s">
        <v>22</v>
      </c>
      <c r="G725" t="s">
        <v>37</v>
      </c>
      <c r="H725" s="1">
        <v>45314</v>
      </c>
      <c r="I725">
        <v>156.83578971273701</v>
      </c>
      <c r="J725">
        <v>5</v>
      </c>
      <c r="K725">
        <v>784.17894856368798</v>
      </c>
      <c r="L725">
        <v>235.25368456910601</v>
      </c>
      <c r="M725" t="s">
        <v>34</v>
      </c>
      <c r="N725">
        <f>Supermarket_Sales_Case_Study[[#This Row],[Sales_Amount]]-Supermarket_Sales_Case_Study[[#This Row],[Profit]]</f>
        <v>548.925263994582</v>
      </c>
      <c r="O725" s="2">
        <f>(Supermarket_Sales_Case_Study[[#This Row],[Sales_Amount]]-Supermarket_Sales_Case_Study[[#This Row],[Purchase]])/Supermarket_Sales_Case_Study[[#This Row],[Sales_Amount]]</f>
        <v>0.29999999999999949</v>
      </c>
      <c r="P725">
        <f>Supermarket_Sales_Case_Study[[#This Row],[Quantity]]*Supermarket_Sales_Case_Study[[#This Row],[Sales_Amount]]</f>
        <v>3920.8947428184401</v>
      </c>
    </row>
    <row r="726" spans="1:16" x14ac:dyDescent="0.3">
      <c r="A726" t="s">
        <v>756</v>
      </c>
      <c r="B726" t="s">
        <v>21</v>
      </c>
      <c r="C726" t="s">
        <v>30</v>
      </c>
      <c r="D726">
        <v>1145</v>
      </c>
      <c r="E726" t="s">
        <v>26</v>
      </c>
      <c r="F726" t="s">
        <v>17</v>
      </c>
      <c r="G726" t="s">
        <v>23</v>
      </c>
      <c r="H726" s="1">
        <v>45372</v>
      </c>
      <c r="I726">
        <v>111.619842502957</v>
      </c>
      <c r="J726">
        <v>6</v>
      </c>
      <c r="K726">
        <v>669.71905501774302</v>
      </c>
      <c r="L726">
        <v>200.91571650532299</v>
      </c>
      <c r="M726" t="s">
        <v>24</v>
      </c>
      <c r="N726">
        <f>Supermarket_Sales_Case_Study[[#This Row],[Sales_Amount]]-Supermarket_Sales_Case_Study[[#This Row],[Profit]]</f>
        <v>468.80333851242005</v>
      </c>
      <c r="O726" s="2">
        <f>(Supermarket_Sales_Case_Study[[#This Row],[Sales_Amount]]-Supermarket_Sales_Case_Study[[#This Row],[Purchase]])/Supermarket_Sales_Case_Study[[#This Row],[Sales_Amount]]</f>
        <v>0.3000000000000001</v>
      </c>
      <c r="P726">
        <f>Supermarket_Sales_Case_Study[[#This Row],[Quantity]]*Supermarket_Sales_Case_Study[[#This Row],[Sales_Amount]]</f>
        <v>4018.3143301064583</v>
      </c>
    </row>
    <row r="727" spans="1:16" x14ac:dyDescent="0.3">
      <c r="A727" t="s">
        <v>757</v>
      </c>
      <c r="B727" t="s">
        <v>21</v>
      </c>
      <c r="C727" t="s">
        <v>36</v>
      </c>
      <c r="D727">
        <v>1715</v>
      </c>
      <c r="E727" t="s">
        <v>16</v>
      </c>
      <c r="F727" t="s">
        <v>17</v>
      </c>
      <c r="G727" t="s">
        <v>23</v>
      </c>
      <c r="H727" s="1">
        <v>45292</v>
      </c>
      <c r="I727">
        <v>274.74999138466001</v>
      </c>
      <c r="J727">
        <v>8</v>
      </c>
      <c r="K727">
        <v>2197.9999310772801</v>
      </c>
      <c r="L727">
        <v>659.39997932318397</v>
      </c>
      <c r="M727" t="s">
        <v>34</v>
      </c>
      <c r="N727">
        <f>Supermarket_Sales_Case_Study[[#This Row],[Sales_Amount]]-Supermarket_Sales_Case_Study[[#This Row],[Profit]]</f>
        <v>1538.5999517540961</v>
      </c>
      <c r="O727" s="2">
        <f>(Supermarket_Sales_Case_Study[[#This Row],[Sales_Amount]]-Supermarket_Sales_Case_Study[[#This Row],[Purchase]])/Supermarket_Sales_Case_Study[[#This Row],[Sales_Amount]]</f>
        <v>0.3</v>
      </c>
      <c r="P727">
        <f>Supermarket_Sales_Case_Study[[#This Row],[Quantity]]*Supermarket_Sales_Case_Study[[#This Row],[Sales_Amount]]</f>
        <v>17583.99944861824</v>
      </c>
    </row>
    <row r="728" spans="1:16" x14ac:dyDescent="0.3">
      <c r="A728" t="s">
        <v>758</v>
      </c>
      <c r="B728" t="s">
        <v>21</v>
      </c>
      <c r="C728" t="s">
        <v>30</v>
      </c>
      <c r="D728">
        <v>1873</v>
      </c>
      <c r="E728" t="s">
        <v>26</v>
      </c>
      <c r="F728" t="s">
        <v>17</v>
      </c>
      <c r="G728" t="s">
        <v>33</v>
      </c>
      <c r="H728" s="1">
        <v>45370</v>
      </c>
      <c r="I728">
        <v>108.53337026666399</v>
      </c>
      <c r="J728">
        <v>7</v>
      </c>
      <c r="K728">
        <v>759.73359186665198</v>
      </c>
      <c r="L728">
        <v>227.92007755999501</v>
      </c>
      <c r="M728" t="s">
        <v>34</v>
      </c>
      <c r="N728">
        <f>Supermarket_Sales_Case_Study[[#This Row],[Sales_Amount]]-Supermarket_Sales_Case_Study[[#This Row],[Profit]]</f>
        <v>531.813514306657</v>
      </c>
      <c r="O728" s="2">
        <f>(Supermarket_Sales_Case_Study[[#This Row],[Sales_Amount]]-Supermarket_Sales_Case_Study[[#This Row],[Purchase]])/Supermarket_Sales_Case_Study[[#This Row],[Sales_Amount]]</f>
        <v>0.29999999999999921</v>
      </c>
      <c r="P728">
        <f>Supermarket_Sales_Case_Study[[#This Row],[Quantity]]*Supermarket_Sales_Case_Study[[#This Row],[Sales_Amount]]</f>
        <v>5318.1351430665636</v>
      </c>
    </row>
    <row r="729" spans="1:16" x14ac:dyDescent="0.3">
      <c r="A729" t="s">
        <v>759</v>
      </c>
      <c r="B729" t="s">
        <v>21</v>
      </c>
      <c r="C729" t="s">
        <v>15</v>
      </c>
      <c r="D729">
        <v>1298</v>
      </c>
      <c r="E729" t="s">
        <v>16</v>
      </c>
      <c r="F729" t="s">
        <v>17</v>
      </c>
      <c r="G729" t="s">
        <v>28</v>
      </c>
      <c r="H729" s="1">
        <v>45323</v>
      </c>
      <c r="I729">
        <v>142.12955536680201</v>
      </c>
      <c r="J729">
        <v>8</v>
      </c>
      <c r="K729">
        <v>1137.0364429344199</v>
      </c>
      <c r="L729">
        <v>341.11093288032703</v>
      </c>
      <c r="M729" t="s">
        <v>24</v>
      </c>
      <c r="N729">
        <f>Supermarket_Sales_Case_Study[[#This Row],[Sales_Amount]]-Supermarket_Sales_Case_Study[[#This Row],[Profit]]</f>
        <v>795.92551005409291</v>
      </c>
      <c r="O729" s="2">
        <f>(Supermarket_Sales_Case_Study[[#This Row],[Sales_Amount]]-Supermarket_Sales_Case_Study[[#This Row],[Purchase]])/Supermarket_Sales_Case_Study[[#This Row],[Sales_Amount]]</f>
        <v>0.30000000000000093</v>
      </c>
      <c r="P729">
        <f>Supermarket_Sales_Case_Study[[#This Row],[Quantity]]*Supermarket_Sales_Case_Study[[#This Row],[Sales_Amount]]</f>
        <v>9096.2915434753595</v>
      </c>
    </row>
    <row r="730" spans="1:16" x14ac:dyDescent="0.3">
      <c r="A730" t="s">
        <v>760</v>
      </c>
      <c r="B730" t="s">
        <v>21</v>
      </c>
      <c r="C730" t="s">
        <v>36</v>
      </c>
      <c r="D730">
        <v>2190</v>
      </c>
      <c r="E730" t="s">
        <v>16</v>
      </c>
      <c r="F730" t="s">
        <v>22</v>
      </c>
      <c r="G730" t="s">
        <v>33</v>
      </c>
      <c r="H730" s="1">
        <v>45300</v>
      </c>
      <c r="I730">
        <v>206.65301097672</v>
      </c>
      <c r="J730">
        <v>3</v>
      </c>
      <c r="K730">
        <v>619.95903293016102</v>
      </c>
      <c r="L730">
        <v>185.987709879048</v>
      </c>
      <c r="M730" t="s">
        <v>34</v>
      </c>
      <c r="N730">
        <f>Supermarket_Sales_Case_Study[[#This Row],[Sales_Amount]]-Supermarket_Sales_Case_Study[[#This Row],[Profit]]</f>
        <v>433.97132305111302</v>
      </c>
      <c r="O730" s="2">
        <f>(Supermarket_Sales_Case_Study[[#This Row],[Sales_Amount]]-Supermarket_Sales_Case_Study[[#This Row],[Purchase]])/Supermarket_Sales_Case_Study[[#This Row],[Sales_Amount]]</f>
        <v>0.29999999999999949</v>
      </c>
      <c r="P730">
        <f>Supermarket_Sales_Case_Study[[#This Row],[Quantity]]*Supermarket_Sales_Case_Study[[#This Row],[Sales_Amount]]</f>
        <v>1859.8770987904832</v>
      </c>
    </row>
    <row r="731" spans="1:16" x14ac:dyDescent="0.3">
      <c r="A731" t="s">
        <v>761</v>
      </c>
      <c r="B731" t="s">
        <v>39</v>
      </c>
      <c r="C731" t="s">
        <v>15</v>
      </c>
      <c r="D731">
        <v>1645</v>
      </c>
      <c r="E731" t="s">
        <v>16</v>
      </c>
      <c r="F731" t="s">
        <v>17</v>
      </c>
      <c r="G731" t="s">
        <v>28</v>
      </c>
      <c r="H731" s="1">
        <v>45306</v>
      </c>
      <c r="I731">
        <v>167.47621495136099</v>
      </c>
      <c r="J731">
        <v>4</v>
      </c>
      <c r="K731">
        <v>669.90485980544599</v>
      </c>
      <c r="L731">
        <v>200.97145794163299</v>
      </c>
      <c r="M731" t="s">
        <v>19</v>
      </c>
      <c r="N731">
        <f>Supermarket_Sales_Case_Study[[#This Row],[Sales_Amount]]-Supermarket_Sales_Case_Study[[#This Row],[Profit]]</f>
        <v>468.933401863813</v>
      </c>
      <c r="O731" s="2">
        <f>(Supermarket_Sales_Case_Study[[#This Row],[Sales_Amount]]-Supermarket_Sales_Case_Study[[#This Row],[Purchase]])/Supermarket_Sales_Case_Study[[#This Row],[Sales_Amount]]</f>
        <v>0.29999999999999877</v>
      </c>
      <c r="P731">
        <f>Supermarket_Sales_Case_Study[[#This Row],[Quantity]]*Supermarket_Sales_Case_Study[[#This Row],[Sales_Amount]]</f>
        <v>2679.619439221784</v>
      </c>
    </row>
    <row r="732" spans="1:16" x14ac:dyDescent="0.3">
      <c r="A732" t="s">
        <v>762</v>
      </c>
      <c r="B732" t="s">
        <v>14</v>
      </c>
      <c r="C732" t="s">
        <v>36</v>
      </c>
      <c r="D732">
        <v>1722</v>
      </c>
      <c r="E732" t="s">
        <v>16</v>
      </c>
      <c r="F732" t="s">
        <v>17</v>
      </c>
      <c r="G732" t="s">
        <v>18</v>
      </c>
      <c r="H732" s="1">
        <v>45319</v>
      </c>
      <c r="I732">
        <v>110.596933145671</v>
      </c>
      <c r="J732">
        <v>6</v>
      </c>
      <c r="K732">
        <v>663.58159887402996</v>
      </c>
      <c r="L732">
        <v>199.074479662209</v>
      </c>
      <c r="M732" t="s">
        <v>34</v>
      </c>
      <c r="N732">
        <f>Supermarket_Sales_Case_Study[[#This Row],[Sales_Amount]]-Supermarket_Sales_Case_Study[[#This Row],[Profit]]</f>
        <v>464.50711921182096</v>
      </c>
      <c r="O732" s="2">
        <f>(Supermarket_Sales_Case_Study[[#This Row],[Sales_Amount]]-Supermarket_Sales_Case_Study[[#This Row],[Purchase]])/Supermarket_Sales_Case_Study[[#This Row],[Sales_Amount]]</f>
        <v>0.30000000000000004</v>
      </c>
      <c r="P732">
        <f>Supermarket_Sales_Case_Study[[#This Row],[Quantity]]*Supermarket_Sales_Case_Study[[#This Row],[Sales_Amount]]</f>
        <v>3981.4895932441796</v>
      </c>
    </row>
    <row r="733" spans="1:16" x14ac:dyDescent="0.3">
      <c r="A733" t="s">
        <v>763</v>
      </c>
      <c r="B733" t="s">
        <v>21</v>
      </c>
      <c r="C733" t="s">
        <v>15</v>
      </c>
      <c r="D733">
        <v>2071</v>
      </c>
      <c r="E733" t="s">
        <v>26</v>
      </c>
      <c r="F733" t="s">
        <v>22</v>
      </c>
      <c r="G733" t="s">
        <v>31</v>
      </c>
      <c r="H733" s="1">
        <v>45315</v>
      </c>
      <c r="I733">
        <v>136.336989232387</v>
      </c>
      <c r="J733">
        <v>7</v>
      </c>
      <c r="K733">
        <v>954.35892462671495</v>
      </c>
      <c r="L733">
        <v>286.30767738801399</v>
      </c>
      <c r="M733" t="s">
        <v>24</v>
      </c>
      <c r="N733">
        <f>Supermarket_Sales_Case_Study[[#This Row],[Sales_Amount]]-Supermarket_Sales_Case_Study[[#This Row],[Profit]]</f>
        <v>668.05124723870097</v>
      </c>
      <c r="O733" s="2">
        <f>(Supermarket_Sales_Case_Study[[#This Row],[Sales_Amount]]-Supermarket_Sales_Case_Study[[#This Row],[Purchase]])/Supermarket_Sales_Case_Study[[#This Row],[Sales_Amount]]</f>
        <v>0.29999999999999949</v>
      </c>
      <c r="P733">
        <f>Supermarket_Sales_Case_Study[[#This Row],[Quantity]]*Supermarket_Sales_Case_Study[[#This Row],[Sales_Amount]]</f>
        <v>6680.5124723870049</v>
      </c>
    </row>
    <row r="734" spans="1:16" x14ac:dyDescent="0.3">
      <c r="A734" t="s">
        <v>764</v>
      </c>
      <c r="B734" t="s">
        <v>39</v>
      </c>
      <c r="C734" t="s">
        <v>30</v>
      </c>
      <c r="D734">
        <v>1637</v>
      </c>
      <c r="E734" t="s">
        <v>16</v>
      </c>
      <c r="F734" t="s">
        <v>17</v>
      </c>
      <c r="G734" t="s">
        <v>33</v>
      </c>
      <c r="H734" s="1">
        <v>45351</v>
      </c>
      <c r="I734">
        <v>240.39943717751601</v>
      </c>
      <c r="J734">
        <v>9</v>
      </c>
      <c r="K734">
        <v>2163.5949345976501</v>
      </c>
      <c r="L734">
        <v>649.078480379295</v>
      </c>
      <c r="M734" t="s">
        <v>19</v>
      </c>
      <c r="N734">
        <f>Supermarket_Sales_Case_Study[[#This Row],[Sales_Amount]]-Supermarket_Sales_Case_Study[[#This Row],[Profit]]</f>
        <v>1514.5164542183552</v>
      </c>
      <c r="O734" s="2">
        <f>(Supermarket_Sales_Case_Study[[#This Row],[Sales_Amount]]-Supermarket_Sales_Case_Study[[#This Row],[Purchase]])/Supermarket_Sales_Case_Study[[#This Row],[Sales_Amount]]</f>
        <v>0.29999999999999993</v>
      </c>
      <c r="P734">
        <f>Supermarket_Sales_Case_Study[[#This Row],[Quantity]]*Supermarket_Sales_Case_Study[[#This Row],[Sales_Amount]]</f>
        <v>19472.354411378852</v>
      </c>
    </row>
    <row r="735" spans="1:16" x14ac:dyDescent="0.3">
      <c r="A735" t="s">
        <v>765</v>
      </c>
      <c r="B735" t="s">
        <v>39</v>
      </c>
      <c r="C735" t="s">
        <v>30</v>
      </c>
      <c r="D735">
        <v>1238</v>
      </c>
      <c r="E735" t="s">
        <v>26</v>
      </c>
      <c r="F735" t="s">
        <v>17</v>
      </c>
      <c r="G735" t="s">
        <v>33</v>
      </c>
      <c r="H735" s="1">
        <v>45326</v>
      </c>
      <c r="I735">
        <v>90.657455091117598</v>
      </c>
      <c r="J735">
        <v>1</v>
      </c>
      <c r="K735">
        <v>90.657455091117598</v>
      </c>
      <c r="L735">
        <v>27.1972365273352</v>
      </c>
      <c r="M735" t="s">
        <v>19</v>
      </c>
      <c r="N735">
        <f>Supermarket_Sales_Case_Study[[#This Row],[Sales_Amount]]-Supermarket_Sales_Case_Study[[#This Row],[Profit]]</f>
        <v>63.460218563782398</v>
      </c>
      <c r="O735" s="2">
        <f>(Supermarket_Sales_Case_Study[[#This Row],[Sales_Amount]]-Supermarket_Sales_Case_Study[[#This Row],[Purchase]])/Supermarket_Sales_Case_Study[[#This Row],[Sales_Amount]]</f>
        <v>0.2999999999999991</v>
      </c>
      <c r="P735">
        <f>Supermarket_Sales_Case_Study[[#This Row],[Quantity]]*Supermarket_Sales_Case_Study[[#This Row],[Sales_Amount]]</f>
        <v>90.657455091117598</v>
      </c>
    </row>
    <row r="736" spans="1:16" x14ac:dyDescent="0.3">
      <c r="A736" t="s">
        <v>766</v>
      </c>
      <c r="B736" t="s">
        <v>14</v>
      </c>
      <c r="C736" t="s">
        <v>30</v>
      </c>
      <c r="D736">
        <v>2030</v>
      </c>
      <c r="E736" t="s">
        <v>26</v>
      </c>
      <c r="F736" t="s">
        <v>22</v>
      </c>
      <c r="G736" t="s">
        <v>28</v>
      </c>
      <c r="H736" s="1">
        <v>45377</v>
      </c>
      <c r="I736">
        <v>51.254019535276399</v>
      </c>
      <c r="J736">
        <v>8</v>
      </c>
      <c r="K736">
        <v>410.03215628221102</v>
      </c>
      <c r="L736">
        <v>123.009646884663</v>
      </c>
      <c r="M736" t="s">
        <v>34</v>
      </c>
      <c r="N736">
        <f>Supermarket_Sales_Case_Study[[#This Row],[Sales_Amount]]-Supermarket_Sales_Case_Study[[#This Row],[Profit]]</f>
        <v>287.02250939754799</v>
      </c>
      <c r="O736" s="2">
        <f>(Supermarket_Sales_Case_Study[[#This Row],[Sales_Amount]]-Supermarket_Sales_Case_Study[[#This Row],[Purchase]])/Supermarket_Sales_Case_Study[[#This Row],[Sales_Amount]]</f>
        <v>0.29999999999999932</v>
      </c>
      <c r="P736">
        <f>Supermarket_Sales_Case_Study[[#This Row],[Quantity]]*Supermarket_Sales_Case_Study[[#This Row],[Sales_Amount]]</f>
        <v>3280.2572502576882</v>
      </c>
    </row>
    <row r="737" spans="1:16" x14ac:dyDescent="0.3">
      <c r="A737" t="s">
        <v>767</v>
      </c>
      <c r="B737" t="s">
        <v>21</v>
      </c>
      <c r="C737" t="s">
        <v>36</v>
      </c>
      <c r="D737">
        <v>1463</v>
      </c>
      <c r="E737" t="s">
        <v>26</v>
      </c>
      <c r="F737" t="s">
        <v>17</v>
      </c>
      <c r="G737" t="s">
        <v>18</v>
      </c>
      <c r="H737" s="1">
        <v>45318</v>
      </c>
      <c r="I737">
        <v>100.817328530635</v>
      </c>
      <c r="J737">
        <v>8</v>
      </c>
      <c r="K737">
        <v>806.53862824508201</v>
      </c>
      <c r="L737">
        <v>241.96158847352399</v>
      </c>
      <c r="M737" t="s">
        <v>34</v>
      </c>
      <c r="N737">
        <f>Supermarket_Sales_Case_Study[[#This Row],[Sales_Amount]]-Supermarket_Sales_Case_Study[[#This Row],[Profit]]</f>
        <v>564.57703977155802</v>
      </c>
      <c r="O737" s="2">
        <f>(Supermarket_Sales_Case_Study[[#This Row],[Sales_Amount]]-Supermarket_Sales_Case_Study[[#This Row],[Purchase]])/Supermarket_Sales_Case_Study[[#This Row],[Sales_Amount]]</f>
        <v>0.29999999999999921</v>
      </c>
      <c r="P737">
        <f>Supermarket_Sales_Case_Study[[#This Row],[Quantity]]*Supermarket_Sales_Case_Study[[#This Row],[Sales_Amount]]</f>
        <v>6452.3090259606561</v>
      </c>
    </row>
    <row r="738" spans="1:16" x14ac:dyDescent="0.3">
      <c r="A738" t="s">
        <v>768</v>
      </c>
      <c r="B738" t="s">
        <v>14</v>
      </c>
      <c r="C738" t="s">
        <v>15</v>
      </c>
      <c r="D738">
        <v>1452</v>
      </c>
      <c r="E738" t="s">
        <v>16</v>
      </c>
      <c r="F738" t="s">
        <v>17</v>
      </c>
      <c r="G738" t="s">
        <v>18</v>
      </c>
      <c r="H738" s="1">
        <v>45374</v>
      </c>
      <c r="I738">
        <v>256.36492249149097</v>
      </c>
      <c r="J738">
        <v>6</v>
      </c>
      <c r="K738">
        <v>1538.18953494894</v>
      </c>
      <c r="L738">
        <v>461.456860484684</v>
      </c>
      <c r="M738" t="s">
        <v>24</v>
      </c>
      <c r="N738">
        <f>Supermarket_Sales_Case_Study[[#This Row],[Sales_Amount]]-Supermarket_Sales_Case_Study[[#This Row],[Profit]]</f>
        <v>1076.732674464256</v>
      </c>
      <c r="O738" s="2">
        <f>(Supermarket_Sales_Case_Study[[#This Row],[Sales_Amount]]-Supermarket_Sales_Case_Study[[#This Row],[Purchase]])/Supermarket_Sales_Case_Study[[#This Row],[Sales_Amount]]</f>
        <v>0.30000000000000132</v>
      </c>
      <c r="P738">
        <f>Supermarket_Sales_Case_Study[[#This Row],[Quantity]]*Supermarket_Sales_Case_Study[[#This Row],[Sales_Amount]]</f>
        <v>9229.1372096936393</v>
      </c>
    </row>
    <row r="739" spans="1:16" x14ac:dyDescent="0.3">
      <c r="A739" t="s">
        <v>769</v>
      </c>
      <c r="B739" t="s">
        <v>21</v>
      </c>
      <c r="C739" t="s">
        <v>30</v>
      </c>
      <c r="D739">
        <v>1783</v>
      </c>
      <c r="E739" t="s">
        <v>26</v>
      </c>
      <c r="F739" t="s">
        <v>17</v>
      </c>
      <c r="G739" t="s">
        <v>28</v>
      </c>
      <c r="H739" s="1">
        <v>45367</v>
      </c>
      <c r="I739">
        <v>35.807017308340498</v>
      </c>
      <c r="J739">
        <v>4</v>
      </c>
      <c r="K739">
        <v>143.22806923336199</v>
      </c>
      <c r="L739">
        <v>42.968420770008599</v>
      </c>
      <c r="M739" t="s">
        <v>19</v>
      </c>
      <c r="N739">
        <f>Supermarket_Sales_Case_Study[[#This Row],[Sales_Amount]]-Supermarket_Sales_Case_Study[[#This Row],[Profit]]</f>
        <v>100.25964846335339</v>
      </c>
      <c r="O739" s="2">
        <f>(Supermarket_Sales_Case_Study[[#This Row],[Sales_Amount]]-Supermarket_Sales_Case_Study[[#This Row],[Purchase]])/Supermarket_Sales_Case_Study[[#This Row],[Sales_Amount]]</f>
        <v>0.30000000000000004</v>
      </c>
      <c r="P739">
        <f>Supermarket_Sales_Case_Study[[#This Row],[Quantity]]*Supermarket_Sales_Case_Study[[#This Row],[Sales_Amount]]</f>
        <v>572.91227693344797</v>
      </c>
    </row>
    <row r="740" spans="1:16" x14ac:dyDescent="0.3">
      <c r="A740" t="s">
        <v>770</v>
      </c>
      <c r="B740" t="s">
        <v>39</v>
      </c>
      <c r="C740" t="s">
        <v>15</v>
      </c>
      <c r="D740">
        <v>1896</v>
      </c>
      <c r="E740" t="s">
        <v>26</v>
      </c>
      <c r="F740" t="s">
        <v>17</v>
      </c>
      <c r="G740" t="s">
        <v>18</v>
      </c>
      <c r="H740" s="1">
        <v>45311</v>
      </c>
      <c r="I740">
        <v>297.59186127801098</v>
      </c>
      <c r="J740">
        <v>3</v>
      </c>
      <c r="K740">
        <v>892.775583834033</v>
      </c>
      <c r="L740">
        <v>267.83267515020901</v>
      </c>
      <c r="M740" t="s">
        <v>24</v>
      </c>
      <c r="N740">
        <f>Supermarket_Sales_Case_Study[[#This Row],[Sales_Amount]]-Supermarket_Sales_Case_Study[[#This Row],[Profit]]</f>
        <v>624.94290868382404</v>
      </c>
      <c r="O740" s="2">
        <f>(Supermarket_Sales_Case_Study[[#This Row],[Sales_Amount]]-Supermarket_Sales_Case_Study[[#This Row],[Purchase]])/Supermarket_Sales_Case_Study[[#This Row],[Sales_Amount]]</f>
        <v>0.29999999999999893</v>
      </c>
      <c r="P740">
        <f>Supermarket_Sales_Case_Study[[#This Row],[Quantity]]*Supermarket_Sales_Case_Study[[#This Row],[Sales_Amount]]</f>
        <v>2678.3267515020989</v>
      </c>
    </row>
    <row r="741" spans="1:16" x14ac:dyDescent="0.3">
      <c r="A741" t="s">
        <v>771</v>
      </c>
      <c r="B741" t="s">
        <v>39</v>
      </c>
      <c r="C741" t="s">
        <v>15</v>
      </c>
      <c r="D741">
        <v>1370</v>
      </c>
      <c r="E741" t="s">
        <v>26</v>
      </c>
      <c r="F741" t="s">
        <v>17</v>
      </c>
      <c r="G741" t="s">
        <v>37</v>
      </c>
      <c r="H741" s="1">
        <v>45356</v>
      </c>
      <c r="I741">
        <v>166.89084068902201</v>
      </c>
      <c r="J741">
        <v>3</v>
      </c>
      <c r="K741">
        <v>500.67252206706598</v>
      </c>
      <c r="L741">
        <v>150.201756620119</v>
      </c>
      <c r="M741" t="s">
        <v>34</v>
      </c>
      <c r="N741">
        <f>Supermarket_Sales_Case_Study[[#This Row],[Sales_Amount]]-Supermarket_Sales_Case_Study[[#This Row],[Profit]]</f>
        <v>350.47076544694698</v>
      </c>
      <c r="O741" s="2">
        <f>(Supermarket_Sales_Case_Study[[#This Row],[Sales_Amount]]-Supermarket_Sales_Case_Study[[#This Row],[Purchase]])/Supermarket_Sales_Case_Study[[#This Row],[Sales_Amount]]</f>
        <v>0.29999999999999843</v>
      </c>
      <c r="P741">
        <f>Supermarket_Sales_Case_Study[[#This Row],[Quantity]]*Supermarket_Sales_Case_Study[[#This Row],[Sales_Amount]]</f>
        <v>1502.017566201198</v>
      </c>
    </row>
    <row r="742" spans="1:16" x14ac:dyDescent="0.3">
      <c r="A742" t="s">
        <v>772</v>
      </c>
      <c r="B742" t="s">
        <v>39</v>
      </c>
      <c r="C742" t="s">
        <v>30</v>
      </c>
      <c r="D742">
        <v>1486</v>
      </c>
      <c r="E742" t="s">
        <v>16</v>
      </c>
      <c r="F742" t="s">
        <v>22</v>
      </c>
      <c r="G742" t="s">
        <v>23</v>
      </c>
      <c r="H742" s="1">
        <v>45376</v>
      </c>
      <c r="I742">
        <v>295.60526575045702</v>
      </c>
      <c r="J742">
        <v>6</v>
      </c>
      <c r="K742">
        <v>1773.63159450274</v>
      </c>
      <c r="L742">
        <v>532.08947835082301</v>
      </c>
      <c r="M742" t="s">
        <v>19</v>
      </c>
      <c r="N742">
        <f>Supermarket_Sales_Case_Study[[#This Row],[Sales_Amount]]-Supermarket_Sales_Case_Study[[#This Row],[Profit]]</f>
        <v>1241.5421161519171</v>
      </c>
      <c r="O742" s="2">
        <f>(Supermarket_Sales_Case_Study[[#This Row],[Sales_Amount]]-Supermarket_Sales_Case_Study[[#This Row],[Purchase]])/Supermarket_Sales_Case_Study[[#This Row],[Sales_Amount]]</f>
        <v>0.30000000000000049</v>
      </c>
      <c r="P742">
        <f>Supermarket_Sales_Case_Study[[#This Row],[Quantity]]*Supermarket_Sales_Case_Study[[#This Row],[Sales_Amount]]</f>
        <v>10641.78956701644</v>
      </c>
    </row>
    <row r="743" spans="1:16" x14ac:dyDescent="0.3">
      <c r="A743" t="s">
        <v>773</v>
      </c>
      <c r="B743" t="s">
        <v>39</v>
      </c>
      <c r="C743" t="s">
        <v>30</v>
      </c>
      <c r="D743">
        <v>2234</v>
      </c>
      <c r="E743" t="s">
        <v>16</v>
      </c>
      <c r="F743" t="s">
        <v>22</v>
      </c>
      <c r="G743" t="s">
        <v>37</v>
      </c>
      <c r="H743" s="1">
        <v>45340</v>
      </c>
      <c r="I743">
        <v>282.30896240493303</v>
      </c>
      <c r="J743">
        <v>8</v>
      </c>
      <c r="K743">
        <v>2258.4716992394601</v>
      </c>
      <c r="L743">
        <v>677.54150977183997</v>
      </c>
      <c r="M743" t="s">
        <v>24</v>
      </c>
      <c r="N743">
        <f>Supermarket_Sales_Case_Study[[#This Row],[Sales_Amount]]-Supermarket_Sales_Case_Study[[#This Row],[Profit]]</f>
        <v>1580.93018946762</v>
      </c>
      <c r="O743" s="2">
        <f>(Supermarket_Sales_Case_Study[[#This Row],[Sales_Amount]]-Supermarket_Sales_Case_Study[[#This Row],[Purchase]])/Supermarket_Sales_Case_Study[[#This Row],[Sales_Amount]]</f>
        <v>0.30000000000000093</v>
      </c>
      <c r="P743">
        <f>Supermarket_Sales_Case_Study[[#This Row],[Quantity]]*Supermarket_Sales_Case_Study[[#This Row],[Sales_Amount]]</f>
        <v>18067.773593915681</v>
      </c>
    </row>
    <row r="744" spans="1:16" x14ac:dyDescent="0.3">
      <c r="A744" t="s">
        <v>774</v>
      </c>
      <c r="B744" t="s">
        <v>14</v>
      </c>
      <c r="C744" t="s">
        <v>15</v>
      </c>
      <c r="D744">
        <v>1164</v>
      </c>
      <c r="E744" t="s">
        <v>26</v>
      </c>
      <c r="F744" t="s">
        <v>22</v>
      </c>
      <c r="G744" t="s">
        <v>31</v>
      </c>
      <c r="H744" s="1">
        <v>45292</v>
      </c>
      <c r="I744">
        <v>141.31597712116499</v>
      </c>
      <c r="J744">
        <v>7</v>
      </c>
      <c r="K744">
        <v>989.21183984816105</v>
      </c>
      <c r="L744">
        <v>296.76355195444802</v>
      </c>
      <c r="M744" t="s">
        <v>24</v>
      </c>
      <c r="N744">
        <f>Supermarket_Sales_Case_Study[[#This Row],[Sales_Amount]]-Supermarket_Sales_Case_Study[[#This Row],[Profit]]</f>
        <v>692.44828789371309</v>
      </c>
      <c r="O744" s="2">
        <f>(Supermarket_Sales_Case_Study[[#This Row],[Sales_Amount]]-Supermarket_Sales_Case_Study[[#This Row],[Purchase]])/Supermarket_Sales_Case_Study[[#This Row],[Sales_Amount]]</f>
        <v>0.29999999999999966</v>
      </c>
      <c r="P744">
        <f>Supermarket_Sales_Case_Study[[#This Row],[Quantity]]*Supermarket_Sales_Case_Study[[#This Row],[Sales_Amount]]</f>
        <v>6924.4828789371277</v>
      </c>
    </row>
    <row r="745" spans="1:16" x14ac:dyDescent="0.3">
      <c r="A745" t="s">
        <v>775</v>
      </c>
      <c r="B745" t="s">
        <v>21</v>
      </c>
      <c r="C745" t="s">
        <v>30</v>
      </c>
      <c r="D745">
        <v>2148</v>
      </c>
      <c r="E745" t="s">
        <v>16</v>
      </c>
      <c r="F745" t="s">
        <v>22</v>
      </c>
      <c r="G745" t="s">
        <v>33</v>
      </c>
      <c r="H745" s="1">
        <v>45301</v>
      </c>
      <c r="I745">
        <v>67.5624116355512</v>
      </c>
      <c r="J745">
        <v>1</v>
      </c>
      <c r="K745">
        <v>67.5624116355512</v>
      </c>
      <c r="L745">
        <v>20.268723490665302</v>
      </c>
      <c r="M745" t="s">
        <v>24</v>
      </c>
      <c r="N745">
        <f>Supermarket_Sales_Case_Study[[#This Row],[Sales_Amount]]-Supermarket_Sales_Case_Study[[#This Row],[Profit]]</f>
        <v>47.293688144885898</v>
      </c>
      <c r="O745" s="2">
        <f>(Supermarket_Sales_Case_Study[[#This Row],[Sales_Amount]]-Supermarket_Sales_Case_Study[[#This Row],[Purchase]])/Supermarket_Sales_Case_Study[[#This Row],[Sales_Amount]]</f>
        <v>0.29999999999999916</v>
      </c>
      <c r="P745">
        <f>Supermarket_Sales_Case_Study[[#This Row],[Quantity]]*Supermarket_Sales_Case_Study[[#This Row],[Sales_Amount]]</f>
        <v>67.5624116355512</v>
      </c>
    </row>
    <row r="746" spans="1:16" x14ac:dyDescent="0.3">
      <c r="A746" t="s">
        <v>776</v>
      </c>
      <c r="B746" t="s">
        <v>21</v>
      </c>
      <c r="C746" t="s">
        <v>30</v>
      </c>
      <c r="D746">
        <v>2360</v>
      </c>
      <c r="E746" t="s">
        <v>16</v>
      </c>
      <c r="F746" t="s">
        <v>22</v>
      </c>
      <c r="G746" t="s">
        <v>31</v>
      </c>
      <c r="H746" s="1">
        <v>45338</v>
      </c>
      <c r="I746">
        <v>57.816585203890099</v>
      </c>
      <c r="J746">
        <v>6</v>
      </c>
      <c r="K746">
        <v>346.89951122334003</v>
      </c>
      <c r="L746">
        <v>104.069853367002</v>
      </c>
      <c r="M746" t="s">
        <v>24</v>
      </c>
      <c r="N746">
        <f>Supermarket_Sales_Case_Study[[#This Row],[Sales_Amount]]-Supermarket_Sales_Case_Study[[#This Row],[Profit]]</f>
        <v>242.82965785633803</v>
      </c>
      <c r="O746" s="2">
        <f>(Supermarket_Sales_Case_Study[[#This Row],[Sales_Amount]]-Supermarket_Sales_Case_Study[[#This Row],[Purchase]])/Supermarket_Sales_Case_Study[[#This Row],[Sales_Amount]]</f>
        <v>0.3</v>
      </c>
      <c r="P746">
        <f>Supermarket_Sales_Case_Study[[#This Row],[Quantity]]*Supermarket_Sales_Case_Study[[#This Row],[Sales_Amount]]</f>
        <v>2081.3970673400399</v>
      </c>
    </row>
    <row r="747" spans="1:16" x14ac:dyDescent="0.3">
      <c r="A747" t="s">
        <v>777</v>
      </c>
      <c r="B747" t="s">
        <v>14</v>
      </c>
      <c r="C747" t="s">
        <v>30</v>
      </c>
      <c r="D747">
        <v>1191</v>
      </c>
      <c r="E747" t="s">
        <v>26</v>
      </c>
      <c r="F747" t="s">
        <v>22</v>
      </c>
      <c r="G747" t="s">
        <v>33</v>
      </c>
      <c r="H747" s="1">
        <v>45350</v>
      </c>
      <c r="I747">
        <v>79.596915522287603</v>
      </c>
      <c r="J747">
        <v>7</v>
      </c>
      <c r="K747">
        <v>557.17840865601295</v>
      </c>
      <c r="L747">
        <v>167.15352259680401</v>
      </c>
      <c r="M747" t="s">
        <v>24</v>
      </c>
      <c r="N747">
        <f>Supermarket_Sales_Case_Study[[#This Row],[Sales_Amount]]-Supermarket_Sales_Case_Study[[#This Row],[Profit]]</f>
        <v>390.02488605920894</v>
      </c>
      <c r="O747" s="2">
        <f>(Supermarket_Sales_Case_Study[[#This Row],[Sales_Amount]]-Supermarket_Sales_Case_Study[[#This Row],[Purchase]])/Supermarket_Sales_Case_Study[[#This Row],[Sales_Amount]]</f>
        <v>0.30000000000000021</v>
      </c>
      <c r="P747">
        <f>Supermarket_Sales_Case_Study[[#This Row],[Quantity]]*Supermarket_Sales_Case_Study[[#This Row],[Sales_Amount]]</f>
        <v>3900.2488605920908</v>
      </c>
    </row>
    <row r="748" spans="1:16" x14ac:dyDescent="0.3">
      <c r="A748" t="s">
        <v>778</v>
      </c>
      <c r="B748" t="s">
        <v>21</v>
      </c>
      <c r="C748" t="s">
        <v>36</v>
      </c>
      <c r="D748">
        <v>1729</v>
      </c>
      <c r="E748" t="s">
        <v>26</v>
      </c>
      <c r="F748" t="s">
        <v>17</v>
      </c>
      <c r="G748" t="s">
        <v>23</v>
      </c>
      <c r="H748" s="1">
        <v>45353</v>
      </c>
      <c r="I748">
        <v>215.93846576371499</v>
      </c>
      <c r="J748">
        <v>7</v>
      </c>
      <c r="K748">
        <v>1511.56926034601</v>
      </c>
      <c r="L748">
        <v>453.47077810380301</v>
      </c>
      <c r="M748" t="s">
        <v>19</v>
      </c>
      <c r="N748">
        <f>Supermarket_Sales_Case_Study[[#This Row],[Sales_Amount]]-Supermarket_Sales_Case_Study[[#This Row],[Profit]]</f>
        <v>1058.098482242207</v>
      </c>
      <c r="O748" s="2">
        <f>(Supermarket_Sales_Case_Study[[#This Row],[Sales_Amount]]-Supermarket_Sales_Case_Study[[#This Row],[Purchase]])/Supermarket_Sales_Case_Study[[#This Row],[Sales_Amount]]</f>
        <v>0.3</v>
      </c>
      <c r="P748">
        <f>Supermarket_Sales_Case_Study[[#This Row],[Quantity]]*Supermarket_Sales_Case_Study[[#This Row],[Sales_Amount]]</f>
        <v>10580.98482242207</v>
      </c>
    </row>
    <row r="749" spans="1:16" x14ac:dyDescent="0.3">
      <c r="A749" t="s">
        <v>779</v>
      </c>
      <c r="B749" t="s">
        <v>39</v>
      </c>
      <c r="C749" t="s">
        <v>15</v>
      </c>
      <c r="D749">
        <v>1213</v>
      </c>
      <c r="E749" t="s">
        <v>16</v>
      </c>
      <c r="F749" t="s">
        <v>22</v>
      </c>
      <c r="G749" t="s">
        <v>18</v>
      </c>
      <c r="H749" s="1">
        <v>45377</v>
      </c>
      <c r="I749">
        <v>89.155498472131399</v>
      </c>
      <c r="J749">
        <v>9</v>
      </c>
      <c r="K749">
        <v>802.39948624918304</v>
      </c>
      <c r="L749">
        <v>240.71984587475399</v>
      </c>
      <c r="M749" t="s">
        <v>24</v>
      </c>
      <c r="N749">
        <f>Supermarket_Sales_Case_Study[[#This Row],[Sales_Amount]]-Supermarket_Sales_Case_Study[[#This Row],[Profit]]</f>
        <v>561.67964037442903</v>
      </c>
      <c r="O749" s="2">
        <f>(Supermarket_Sales_Case_Study[[#This Row],[Sales_Amount]]-Supermarket_Sales_Case_Study[[#This Row],[Purchase]])/Supermarket_Sales_Case_Study[[#This Row],[Sales_Amount]]</f>
        <v>0.29999999999999888</v>
      </c>
      <c r="P749">
        <f>Supermarket_Sales_Case_Study[[#This Row],[Quantity]]*Supermarket_Sales_Case_Study[[#This Row],[Sales_Amount]]</f>
        <v>7221.595376242647</v>
      </c>
    </row>
    <row r="750" spans="1:16" x14ac:dyDescent="0.3">
      <c r="A750" t="s">
        <v>780</v>
      </c>
      <c r="B750" t="s">
        <v>21</v>
      </c>
      <c r="C750" t="s">
        <v>15</v>
      </c>
      <c r="D750">
        <v>1573</v>
      </c>
      <c r="E750" t="s">
        <v>26</v>
      </c>
      <c r="F750" t="s">
        <v>22</v>
      </c>
      <c r="G750" t="s">
        <v>37</v>
      </c>
      <c r="H750" s="1">
        <v>45309</v>
      </c>
      <c r="I750">
        <v>109.013328185246</v>
      </c>
      <c r="J750">
        <v>5</v>
      </c>
      <c r="K750">
        <v>545.06664092623203</v>
      </c>
      <c r="L750">
        <v>163.51999227786899</v>
      </c>
      <c r="M750" t="s">
        <v>19</v>
      </c>
      <c r="N750">
        <f>Supermarket_Sales_Case_Study[[#This Row],[Sales_Amount]]-Supermarket_Sales_Case_Study[[#This Row],[Profit]]</f>
        <v>381.54664864836303</v>
      </c>
      <c r="O750" s="2">
        <f>(Supermarket_Sales_Case_Study[[#This Row],[Sales_Amount]]-Supermarket_Sales_Case_Study[[#This Row],[Purchase]])/Supermarket_Sales_Case_Study[[#This Row],[Sales_Amount]]</f>
        <v>0.29999999999999888</v>
      </c>
      <c r="P750">
        <f>Supermarket_Sales_Case_Study[[#This Row],[Quantity]]*Supermarket_Sales_Case_Study[[#This Row],[Sales_Amount]]</f>
        <v>2725.3332046311602</v>
      </c>
    </row>
    <row r="751" spans="1:16" x14ac:dyDescent="0.3">
      <c r="A751" t="s">
        <v>781</v>
      </c>
      <c r="B751" t="s">
        <v>39</v>
      </c>
      <c r="C751" t="s">
        <v>36</v>
      </c>
      <c r="D751">
        <v>2351</v>
      </c>
      <c r="E751" t="s">
        <v>16</v>
      </c>
      <c r="F751" t="s">
        <v>17</v>
      </c>
      <c r="G751" t="s">
        <v>28</v>
      </c>
      <c r="H751" s="1">
        <v>45337</v>
      </c>
      <c r="I751">
        <v>140.145853158438</v>
      </c>
      <c r="J751">
        <v>1</v>
      </c>
      <c r="K751">
        <v>140.145853158438</v>
      </c>
      <c r="L751">
        <v>42.043755947531402</v>
      </c>
      <c r="M751" t="s">
        <v>24</v>
      </c>
      <c r="N751">
        <f>Supermarket_Sales_Case_Study[[#This Row],[Sales_Amount]]-Supermarket_Sales_Case_Study[[#This Row],[Profit]]</f>
        <v>98.102097210906607</v>
      </c>
      <c r="O751" s="2">
        <f>(Supermarket_Sales_Case_Study[[#This Row],[Sales_Amount]]-Supermarket_Sales_Case_Study[[#This Row],[Purchase]])/Supermarket_Sales_Case_Study[[#This Row],[Sales_Amount]]</f>
        <v>0.29999999999999993</v>
      </c>
      <c r="P751">
        <f>Supermarket_Sales_Case_Study[[#This Row],[Quantity]]*Supermarket_Sales_Case_Study[[#This Row],[Sales_Amount]]</f>
        <v>140.145853158438</v>
      </c>
    </row>
    <row r="752" spans="1:16" x14ac:dyDescent="0.3">
      <c r="A752" t="s">
        <v>782</v>
      </c>
      <c r="B752" t="s">
        <v>14</v>
      </c>
      <c r="C752" t="s">
        <v>15</v>
      </c>
      <c r="D752">
        <v>1956</v>
      </c>
      <c r="E752" t="s">
        <v>16</v>
      </c>
      <c r="F752" t="s">
        <v>17</v>
      </c>
      <c r="G752" t="s">
        <v>37</v>
      </c>
      <c r="H752" s="1">
        <v>45323</v>
      </c>
      <c r="I752">
        <v>274.83747732222201</v>
      </c>
      <c r="J752">
        <v>2</v>
      </c>
      <c r="K752">
        <v>549.67495464444403</v>
      </c>
      <c r="L752">
        <v>164.90248639333299</v>
      </c>
      <c r="M752" t="s">
        <v>34</v>
      </c>
      <c r="N752">
        <f>Supermarket_Sales_Case_Study[[#This Row],[Sales_Amount]]-Supermarket_Sales_Case_Study[[#This Row],[Profit]]</f>
        <v>384.77246825111104</v>
      </c>
      <c r="O752" s="2">
        <f>(Supermarket_Sales_Case_Study[[#This Row],[Sales_Amount]]-Supermarket_Sales_Case_Study[[#This Row],[Purchase]])/Supermarket_Sales_Case_Study[[#This Row],[Sales_Amount]]</f>
        <v>0.2999999999999996</v>
      </c>
      <c r="P752">
        <f>Supermarket_Sales_Case_Study[[#This Row],[Quantity]]*Supermarket_Sales_Case_Study[[#This Row],[Sales_Amount]]</f>
        <v>1099.3499092888881</v>
      </c>
    </row>
    <row r="753" spans="1:16" x14ac:dyDescent="0.3">
      <c r="A753" t="s">
        <v>783</v>
      </c>
      <c r="B753" t="s">
        <v>21</v>
      </c>
      <c r="C753" t="s">
        <v>30</v>
      </c>
      <c r="D753">
        <v>1380</v>
      </c>
      <c r="E753" t="s">
        <v>16</v>
      </c>
      <c r="F753" t="s">
        <v>22</v>
      </c>
      <c r="G753" t="s">
        <v>23</v>
      </c>
      <c r="H753" s="1">
        <v>45318</v>
      </c>
      <c r="I753">
        <v>64.924091186605295</v>
      </c>
      <c r="J753">
        <v>4</v>
      </c>
      <c r="K753">
        <v>259.69636474642101</v>
      </c>
      <c r="L753">
        <v>77.908909423926403</v>
      </c>
      <c r="M753" t="s">
        <v>34</v>
      </c>
      <c r="N753">
        <f>Supermarket_Sales_Case_Study[[#This Row],[Sales_Amount]]-Supermarket_Sales_Case_Study[[#This Row],[Profit]]</f>
        <v>181.78745532249462</v>
      </c>
      <c r="O753" s="2">
        <f>(Supermarket_Sales_Case_Study[[#This Row],[Sales_Amount]]-Supermarket_Sales_Case_Study[[#This Row],[Purchase]])/Supermarket_Sales_Case_Study[[#This Row],[Sales_Amount]]</f>
        <v>0.30000000000000032</v>
      </c>
      <c r="P753">
        <f>Supermarket_Sales_Case_Study[[#This Row],[Quantity]]*Supermarket_Sales_Case_Study[[#This Row],[Sales_Amount]]</f>
        <v>1038.785458985684</v>
      </c>
    </row>
    <row r="754" spans="1:16" x14ac:dyDescent="0.3">
      <c r="A754" t="s">
        <v>784</v>
      </c>
      <c r="B754" t="s">
        <v>14</v>
      </c>
      <c r="C754" t="s">
        <v>15</v>
      </c>
      <c r="D754">
        <v>1672</v>
      </c>
      <c r="E754" t="s">
        <v>16</v>
      </c>
      <c r="F754" t="s">
        <v>17</v>
      </c>
      <c r="G754" t="s">
        <v>31</v>
      </c>
      <c r="H754" s="1">
        <v>45309</v>
      </c>
      <c r="I754">
        <v>11.4577002568429</v>
      </c>
      <c r="J754">
        <v>5</v>
      </c>
      <c r="K754">
        <v>57.288501284214497</v>
      </c>
      <c r="L754">
        <v>17.186550385264301</v>
      </c>
      <c r="M754" t="s">
        <v>24</v>
      </c>
      <c r="N754">
        <f>Supermarket_Sales_Case_Study[[#This Row],[Sales_Amount]]-Supermarket_Sales_Case_Study[[#This Row],[Profit]]</f>
        <v>40.101950898950193</v>
      </c>
      <c r="O754" s="2">
        <f>(Supermarket_Sales_Case_Study[[#This Row],[Sales_Amount]]-Supermarket_Sales_Case_Study[[#This Row],[Purchase]])/Supermarket_Sales_Case_Study[[#This Row],[Sales_Amount]]</f>
        <v>0.29999999999999921</v>
      </c>
      <c r="P754">
        <f>Supermarket_Sales_Case_Study[[#This Row],[Quantity]]*Supermarket_Sales_Case_Study[[#This Row],[Sales_Amount]]</f>
        <v>286.44250642107249</v>
      </c>
    </row>
    <row r="755" spans="1:16" x14ac:dyDescent="0.3">
      <c r="A755" t="s">
        <v>785</v>
      </c>
      <c r="B755" t="s">
        <v>21</v>
      </c>
      <c r="C755" t="s">
        <v>30</v>
      </c>
      <c r="D755">
        <v>1797</v>
      </c>
      <c r="E755" t="s">
        <v>16</v>
      </c>
      <c r="F755" t="s">
        <v>22</v>
      </c>
      <c r="G755" t="s">
        <v>28</v>
      </c>
      <c r="H755" s="1">
        <v>45330</v>
      </c>
      <c r="I755">
        <v>27.427959009669301</v>
      </c>
      <c r="J755">
        <v>9</v>
      </c>
      <c r="K755">
        <v>246.851631087024</v>
      </c>
      <c r="L755">
        <v>74.055489326107207</v>
      </c>
      <c r="M755" t="s">
        <v>34</v>
      </c>
      <c r="N755">
        <f>Supermarket_Sales_Case_Study[[#This Row],[Sales_Amount]]-Supermarket_Sales_Case_Study[[#This Row],[Profit]]</f>
        <v>172.79614176091678</v>
      </c>
      <c r="O755" s="2">
        <f>(Supermarket_Sales_Case_Study[[#This Row],[Sales_Amount]]-Supermarket_Sales_Case_Study[[#This Row],[Purchase]])/Supermarket_Sales_Case_Study[[#This Row],[Sales_Amount]]</f>
        <v>0.3000000000000001</v>
      </c>
      <c r="P755">
        <f>Supermarket_Sales_Case_Study[[#This Row],[Quantity]]*Supermarket_Sales_Case_Study[[#This Row],[Sales_Amount]]</f>
        <v>2221.6646797832159</v>
      </c>
    </row>
    <row r="756" spans="1:16" x14ac:dyDescent="0.3">
      <c r="A756" t="s">
        <v>786</v>
      </c>
      <c r="B756" t="s">
        <v>39</v>
      </c>
      <c r="C756" t="s">
        <v>36</v>
      </c>
      <c r="D756">
        <v>1238</v>
      </c>
      <c r="E756" t="s">
        <v>16</v>
      </c>
      <c r="F756" t="s">
        <v>17</v>
      </c>
      <c r="G756" t="s">
        <v>18</v>
      </c>
      <c r="H756" s="1">
        <v>45340</v>
      </c>
      <c r="I756">
        <v>272.38223908723398</v>
      </c>
      <c r="J756">
        <v>1</v>
      </c>
      <c r="K756">
        <v>272.38223908723398</v>
      </c>
      <c r="L756">
        <v>81.714671726170195</v>
      </c>
      <c r="M756" t="s">
        <v>19</v>
      </c>
      <c r="N756">
        <f>Supermarket_Sales_Case_Study[[#This Row],[Sales_Amount]]-Supermarket_Sales_Case_Study[[#This Row],[Profit]]</f>
        <v>190.66756736106379</v>
      </c>
      <c r="O756" s="2">
        <f>(Supermarket_Sales_Case_Study[[#This Row],[Sales_Amount]]-Supermarket_Sales_Case_Study[[#This Row],[Purchase]])/Supermarket_Sales_Case_Study[[#This Row],[Sales_Amount]]</f>
        <v>0.3</v>
      </c>
      <c r="P756">
        <f>Supermarket_Sales_Case_Study[[#This Row],[Quantity]]*Supermarket_Sales_Case_Study[[#This Row],[Sales_Amount]]</f>
        <v>272.38223908723398</v>
      </c>
    </row>
    <row r="757" spans="1:16" x14ac:dyDescent="0.3">
      <c r="A757" t="s">
        <v>787</v>
      </c>
      <c r="B757" t="s">
        <v>14</v>
      </c>
      <c r="C757" t="s">
        <v>30</v>
      </c>
      <c r="D757">
        <v>1699</v>
      </c>
      <c r="E757" t="s">
        <v>26</v>
      </c>
      <c r="F757" t="s">
        <v>22</v>
      </c>
      <c r="G757" t="s">
        <v>23</v>
      </c>
      <c r="H757" s="1">
        <v>45373</v>
      </c>
      <c r="I757">
        <v>197.779774804575</v>
      </c>
      <c r="J757">
        <v>3</v>
      </c>
      <c r="K757">
        <v>593.33932441372599</v>
      </c>
      <c r="L757">
        <v>178.00179732411701</v>
      </c>
      <c r="M757" t="s">
        <v>24</v>
      </c>
      <c r="N757">
        <f>Supermarket_Sales_Case_Study[[#This Row],[Sales_Amount]]-Supermarket_Sales_Case_Study[[#This Row],[Profit]]</f>
        <v>415.33752708960901</v>
      </c>
      <c r="O757" s="2">
        <f>(Supermarket_Sales_Case_Study[[#This Row],[Sales_Amount]]-Supermarket_Sales_Case_Study[[#This Row],[Purchase]])/Supermarket_Sales_Case_Study[[#This Row],[Sales_Amount]]</f>
        <v>0.2999999999999986</v>
      </c>
      <c r="P757">
        <f>Supermarket_Sales_Case_Study[[#This Row],[Quantity]]*Supermarket_Sales_Case_Study[[#This Row],[Sales_Amount]]</f>
        <v>1780.017973241178</v>
      </c>
    </row>
    <row r="758" spans="1:16" x14ac:dyDescent="0.3">
      <c r="A758" t="s">
        <v>788</v>
      </c>
      <c r="B758" t="s">
        <v>21</v>
      </c>
      <c r="C758" t="s">
        <v>15</v>
      </c>
      <c r="D758">
        <v>2105</v>
      </c>
      <c r="E758" t="s">
        <v>26</v>
      </c>
      <c r="F758" t="s">
        <v>17</v>
      </c>
      <c r="G758" t="s">
        <v>28</v>
      </c>
      <c r="H758" s="1">
        <v>45335</v>
      </c>
      <c r="I758">
        <v>89.181779605063895</v>
      </c>
      <c r="J758">
        <v>5</v>
      </c>
      <c r="K758">
        <v>445.90889802531899</v>
      </c>
      <c r="L758">
        <v>133.772669407595</v>
      </c>
      <c r="M758" t="s">
        <v>19</v>
      </c>
      <c r="N758">
        <f>Supermarket_Sales_Case_Study[[#This Row],[Sales_Amount]]-Supermarket_Sales_Case_Study[[#This Row],[Profit]]</f>
        <v>312.13622861772399</v>
      </c>
      <c r="O758" s="2">
        <f>(Supermarket_Sales_Case_Study[[#This Row],[Sales_Amount]]-Supermarket_Sales_Case_Study[[#This Row],[Purchase]])/Supermarket_Sales_Case_Study[[#This Row],[Sales_Amount]]</f>
        <v>0.29999999999999843</v>
      </c>
      <c r="P758">
        <f>Supermarket_Sales_Case_Study[[#This Row],[Quantity]]*Supermarket_Sales_Case_Study[[#This Row],[Sales_Amount]]</f>
        <v>2229.5444901265951</v>
      </c>
    </row>
    <row r="759" spans="1:16" x14ac:dyDescent="0.3">
      <c r="A759" t="s">
        <v>789</v>
      </c>
      <c r="B759" t="s">
        <v>39</v>
      </c>
      <c r="C759" t="s">
        <v>15</v>
      </c>
      <c r="D759">
        <v>2386</v>
      </c>
      <c r="E759" t="s">
        <v>16</v>
      </c>
      <c r="F759" t="s">
        <v>17</v>
      </c>
      <c r="G759" t="s">
        <v>23</v>
      </c>
      <c r="H759" s="1">
        <v>45363</v>
      </c>
      <c r="I759">
        <v>61.385825293245396</v>
      </c>
      <c r="J759">
        <v>3</v>
      </c>
      <c r="K759">
        <v>184.15747587973601</v>
      </c>
      <c r="L759">
        <v>55.247242763920802</v>
      </c>
      <c r="M759" t="s">
        <v>24</v>
      </c>
      <c r="N759">
        <f>Supermarket_Sales_Case_Study[[#This Row],[Sales_Amount]]-Supermarket_Sales_Case_Study[[#This Row],[Profit]]</f>
        <v>128.9102331158152</v>
      </c>
      <c r="O759" s="2">
        <f>(Supermarket_Sales_Case_Study[[#This Row],[Sales_Amount]]-Supermarket_Sales_Case_Study[[#This Row],[Purchase]])/Supermarket_Sales_Case_Study[[#This Row],[Sales_Amount]]</f>
        <v>0.30000000000000004</v>
      </c>
      <c r="P759">
        <f>Supermarket_Sales_Case_Study[[#This Row],[Quantity]]*Supermarket_Sales_Case_Study[[#This Row],[Sales_Amount]]</f>
        <v>552.47242763920804</v>
      </c>
    </row>
    <row r="760" spans="1:16" x14ac:dyDescent="0.3">
      <c r="A760" t="s">
        <v>790</v>
      </c>
      <c r="B760" t="s">
        <v>14</v>
      </c>
      <c r="C760" t="s">
        <v>15</v>
      </c>
      <c r="D760">
        <v>1504</v>
      </c>
      <c r="E760" t="s">
        <v>16</v>
      </c>
      <c r="F760" t="s">
        <v>22</v>
      </c>
      <c r="G760" t="s">
        <v>23</v>
      </c>
      <c r="H760" s="1">
        <v>45345</v>
      </c>
      <c r="I760">
        <v>95.337353624763097</v>
      </c>
      <c r="J760">
        <v>4</v>
      </c>
      <c r="K760">
        <v>381.34941449905199</v>
      </c>
      <c r="L760">
        <v>114.404824349715</v>
      </c>
      <c r="M760" t="s">
        <v>34</v>
      </c>
      <c r="N760">
        <f>Supermarket_Sales_Case_Study[[#This Row],[Sales_Amount]]-Supermarket_Sales_Case_Study[[#This Row],[Profit]]</f>
        <v>266.94459014933699</v>
      </c>
      <c r="O760" s="2">
        <f>(Supermarket_Sales_Case_Study[[#This Row],[Sales_Amount]]-Supermarket_Sales_Case_Study[[#This Row],[Purchase]])/Supermarket_Sales_Case_Study[[#This Row],[Sales_Amount]]</f>
        <v>0.29999999999999843</v>
      </c>
      <c r="P760">
        <f>Supermarket_Sales_Case_Study[[#This Row],[Quantity]]*Supermarket_Sales_Case_Study[[#This Row],[Sales_Amount]]</f>
        <v>1525.397657996208</v>
      </c>
    </row>
    <row r="761" spans="1:16" x14ac:dyDescent="0.3">
      <c r="A761" t="s">
        <v>791</v>
      </c>
      <c r="B761" t="s">
        <v>14</v>
      </c>
      <c r="C761" t="s">
        <v>36</v>
      </c>
      <c r="D761">
        <v>1201</v>
      </c>
      <c r="E761" t="s">
        <v>16</v>
      </c>
      <c r="F761" t="s">
        <v>22</v>
      </c>
      <c r="G761" t="s">
        <v>18</v>
      </c>
      <c r="H761" s="1">
        <v>45325</v>
      </c>
      <c r="I761">
        <v>43.291108902871201</v>
      </c>
      <c r="J761">
        <v>3</v>
      </c>
      <c r="K761">
        <v>129.87332670861301</v>
      </c>
      <c r="L761">
        <v>38.961998012584097</v>
      </c>
      <c r="M761" t="s">
        <v>19</v>
      </c>
      <c r="N761">
        <f>Supermarket_Sales_Case_Study[[#This Row],[Sales_Amount]]-Supermarket_Sales_Case_Study[[#This Row],[Profit]]</f>
        <v>90.911328696028903</v>
      </c>
      <c r="O761" s="2">
        <f>(Supermarket_Sales_Case_Study[[#This Row],[Sales_Amount]]-Supermarket_Sales_Case_Study[[#This Row],[Purchase]])/Supermarket_Sales_Case_Study[[#This Row],[Sales_Amount]]</f>
        <v>0.30000000000000154</v>
      </c>
      <c r="P761">
        <f>Supermarket_Sales_Case_Study[[#This Row],[Quantity]]*Supermarket_Sales_Case_Study[[#This Row],[Sales_Amount]]</f>
        <v>389.61998012583899</v>
      </c>
    </row>
    <row r="762" spans="1:16" x14ac:dyDescent="0.3">
      <c r="A762" t="s">
        <v>792</v>
      </c>
      <c r="B762" t="s">
        <v>21</v>
      </c>
      <c r="C762" t="s">
        <v>36</v>
      </c>
      <c r="D762">
        <v>1919</v>
      </c>
      <c r="E762" t="s">
        <v>26</v>
      </c>
      <c r="F762" t="s">
        <v>22</v>
      </c>
      <c r="G762" t="s">
        <v>33</v>
      </c>
      <c r="H762" s="1">
        <v>45362</v>
      </c>
      <c r="I762">
        <v>283.04454398248703</v>
      </c>
      <c r="J762">
        <v>4</v>
      </c>
      <c r="K762">
        <v>1132.1781759299499</v>
      </c>
      <c r="L762">
        <v>339.65345277898501</v>
      </c>
      <c r="M762" t="s">
        <v>34</v>
      </c>
      <c r="N762">
        <f>Supermarket_Sales_Case_Study[[#This Row],[Sales_Amount]]-Supermarket_Sales_Case_Study[[#This Row],[Profit]]</f>
        <v>792.52472315096497</v>
      </c>
      <c r="O762" s="2">
        <f>(Supermarket_Sales_Case_Study[[#This Row],[Sales_Amount]]-Supermarket_Sales_Case_Study[[#This Row],[Purchase]])/Supermarket_Sales_Case_Study[[#This Row],[Sales_Amount]]</f>
        <v>0.3</v>
      </c>
      <c r="P762">
        <f>Supermarket_Sales_Case_Study[[#This Row],[Quantity]]*Supermarket_Sales_Case_Study[[#This Row],[Sales_Amount]]</f>
        <v>4528.7127037197997</v>
      </c>
    </row>
    <row r="763" spans="1:16" x14ac:dyDescent="0.3">
      <c r="A763" t="s">
        <v>793</v>
      </c>
      <c r="B763" t="s">
        <v>21</v>
      </c>
      <c r="C763" t="s">
        <v>15</v>
      </c>
      <c r="D763">
        <v>1036</v>
      </c>
      <c r="E763" t="s">
        <v>16</v>
      </c>
      <c r="F763" t="s">
        <v>22</v>
      </c>
      <c r="G763" t="s">
        <v>28</v>
      </c>
      <c r="H763" s="1">
        <v>45327</v>
      </c>
      <c r="I763">
        <v>237.419790565927</v>
      </c>
      <c r="J763">
        <v>1</v>
      </c>
      <c r="K763">
        <v>237.419790565927</v>
      </c>
      <c r="L763">
        <v>71.225937169778206</v>
      </c>
      <c r="M763" t="s">
        <v>34</v>
      </c>
      <c r="N763">
        <f>Supermarket_Sales_Case_Study[[#This Row],[Sales_Amount]]-Supermarket_Sales_Case_Study[[#This Row],[Profit]]</f>
        <v>166.1938533961488</v>
      </c>
      <c r="O763" s="2">
        <f>(Supermarket_Sales_Case_Study[[#This Row],[Sales_Amount]]-Supermarket_Sales_Case_Study[[#This Row],[Purchase]])/Supermarket_Sales_Case_Study[[#This Row],[Sales_Amount]]</f>
        <v>0.30000000000000043</v>
      </c>
      <c r="P763">
        <f>Supermarket_Sales_Case_Study[[#This Row],[Quantity]]*Supermarket_Sales_Case_Study[[#This Row],[Sales_Amount]]</f>
        <v>237.419790565927</v>
      </c>
    </row>
    <row r="764" spans="1:16" x14ac:dyDescent="0.3">
      <c r="A764" t="s">
        <v>794</v>
      </c>
      <c r="B764" t="s">
        <v>21</v>
      </c>
      <c r="C764" t="s">
        <v>30</v>
      </c>
      <c r="D764">
        <v>1643</v>
      </c>
      <c r="E764" t="s">
        <v>26</v>
      </c>
      <c r="F764" t="s">
        <v>22</v>
      </c>
      <c r="G764" t="s">
        <v>18</v>
      </c>
      <c r="H764" s="1">
        <v>45309</v>
      </c>
      <c r="I764">
        <v>144.093441304636</v>
      </c>
      <c r="J764">
        <v>8</v>
      </c>
      <c r="K764">
        <v>1152.7475304370901</v>
      </c>
      <c r="L764">
        <v>345.82425913112797</v>
      </c>
      <c r="M764" t="s">
        <v>24</v>
      </c>
      <c r="N764">
        <f>Supermarket_Sales_Case_Study[[#This Row],[Sales_Amount]]-Supermarket_Sales_Case_Study[[#This Row],[Profit]]</f>
        <v>806.92327130596209</v>
      </c>
      <c r="O764" s="2">
        <f>(Supermarket_Sales_Case_Study[[#This Row],[Sales_Amount]]-Supermarket_Sales_Case_Study[[#This Row],[Purchase]])/Supermarket_Sales_Case_Study[[#This Row],[Sales_Amount]]</f>
        <v>0.30000000000000082</v>
      </c>
      <c r="P764">
        <f>Supermarket_Sales_Case_Study[[#This Row],[Quantity]]*Supermarket_Sales_Case_Study[[#This Row],[Sales_Amount]]</f>
        <v>9221.9802434967205</v>
      </c>
    </row>
    <row r="765" spans="1:16" x14ac:dyDescent="0.3">
      <c r="A765" t="s">
        <v>795</v>
      </c>
      <c r="B765" t="s">
        <v>39</v>
      </c>
      <c r="C765" t="s">
        <v>36</v>
      </c>
      <c r="D765">
        <v>2425</v>
      </c>
      <c r="E765" t="s">
        <v>16</v>
      </c>
      <c r="F765" t="s">
        <v>17</v>
      </c>
      <c r="G765" t="s">
        <v>23</v>
      </c>
      <c r="H765" s="1">
        <v>45329</v>
      </c>
      <c r="I765">
        <v>260.83915548340798</v>
      </c>
      <c r="J765">
        <v>4</v>
      </c>
      <c r="K765">
        <v>1043.3566219336301</v>
      </c>
      <c r="L765">
        <v>313.00698658008997</v>
      </c>
      <c r="M765" t="s">
        <v>19</v>
      </c>
      <c r="N765">
        <f>Supermarket_Sales_Case_Study[[#This Row],[Sales_Amount]]-Supermarket_Sales_Case_Study[[#This Row],[Profit]]</f>
        <v>730.34963535354018</v>
      </c>
      <c r="O765" s="2">
        <f>(Supermarket_Sales_Case_Study[[#This Row],[Sales_Amount]]-Supermarket_Sales_Case_Study[[#This Row],[Purchase]])/Supermarket_Sales_Case_Study[[#This Row],[Sales_Amount]]</f>
        <v>0.30000000000000088</v>
      </c>
      <c r="P765">
        <f>Supermarket_Sales_Case_Study[[#This Row],[Quantity]]*Supermarket_Sales_Case_Study[[#This Row],[Sales_Amount]]</f>
        <v>4173.4264877345204</v>
      </c>
    </row>
    <row r="766" spans="1:16" x14ac:dyDescent="0.3">
      <c r="A766" t="s">
        <v>796</v>
      </c>
      <c r="B766" t="s">
        <v>21</v>
      </c>
      <c r="C766" t="s">
        <v>15</v>
      </c>
      <c r="D766">
        <v>1764</v>
      </c>
      <c r="E766" t="s">
        <v>16</v>
      </c>
      <c r="F766" t="s">
        <v>22</v>
      </c>
      <c r="G766" t="s">
        <v>18</v>
      </c>
      <c r="H766" s="1">
        <v>45350</v>
      </c>
      <c r="I766">
        <v>82.342879245037295</v>
      </c>
      <c r="J766">
        <v>7</v>
      </c>
      <c r="K766">
        <v>576.40015471526101</v>
      </c>
      <c r="L766">
        <v>172.920046414578</v>
      </c>
      <c r="M766" t="s">
        <v>34</v>
      </c>
      <c r="N766">
        <f>Supermarket_Sales_Case_Study[[#This Row],[Sales_Amount]]-Supermarket_Sales_Case_Study[[#This Row],[Profit]]</f>
        <v>403.48010830068301</v>
      </c>
      <c r="O766" s="2">
        <f>(Supermarket_Sales_Case_Study[[#This Row],[Sales_Amount]]-Supermarket_Sales_Case_Study[[#This Row],[Purchase]])/Supermarket_Sales_Case_Study[[#This Row],[Sales_Amount]]</f>
        <v>0.29999999999999949</v>
      </c>
      <c r="P766">
        <f>Supermarket_Sales_Case_Study[[#This Row],[Quantity]]*Supermarket_Sales_Case_Study[[#This Row],[Sales_Amount]]</f>
        <v>4034.801083006827</v>
      </c>
    </row>
    <row r="767" spans="1:16" x14ac:dyDescent="0.3">
      <c r="A767" t="s">
        <v>797</v>
      </c>
      <c r="B767" t="s">
        <v>14</v>
      </c>
      <c r="C767" t="s">
        <v>15</v>
      </c>
      <c r="D767">
        <v>1705</v>
      </c>
      <c r="E767" t="s">
        <v>26</v>
      </c>
      <c r="F767" t="s">
        <v>22</v>
      </c>
      <c r="G767" t="s">
        <v>33</v>
      </c>
      <c r="H767" s="1">
        <v>45300</v>
      </c>
      <c r="I767">
        <v>217.96496485693601</v>
      </c>
      <c r="J767">
        <v>2</v>
      </c>
      <c r="K767">
        <v>435.92992971387201</v>
      </c>
      <c r="L767">
        <v>130.778978914161</v>
      </c>
      <c r="M767" t="s">
        <v>24</v>
      </c>
      <c r="N767">
        <f>Supermarket_Sales_Case_Study[[#This Row],[Sales_Amount]]-Supermarket_Sales_Case_Study[[#This Row],[Profit]]</f>
        <v>305.15095079971104</v>
      </c>
      <c r="O767" s="2">
        <f>(Supermarket_Sales_Case_Study[[#This Row],[Sales_Amount]]-Supermarket_Sales_Case_Study[[#This Row],[Purchase]])/Supermarket_Sales_Case_Study[[#This Row],[Sales_Amount]]</f>
        <v>0.29999999999999855</v>
      </c>
      <c r="P767">
        <f>Supermarket_Sales_Case_Study[[#This Row],[Quantity]]*Supermarket_Sales_Case_Study[[#This Row],[Sales_Amount]]</f>
        <v>871.85985942774403</v>
      </c>
    </row>
    <row r="768" spans="1:16" x14ac:dyDescent="0.3">
      <c r="A768" t="s">
        <v>798</v>
      </c>
      <c r="B768" t="s">
        <v>14</v>
      </c>
      <c r="C768" t="s">
        <v>36</v>
      </c>
      <c r="D768">
        <v>2199</v>
      </c>
      <c r="E768" t="s">
        <v>26</v>
      </c>
      <c r="F768" t="s">
        <v>17</v>
      </c>
      <c r="G768" t="s">
        <v>37</v>
      </c>
      <c r="H768" s="1">
        <v>45364</v>
      </c>
      <c r="I768">
        <v>258.27842471398498</v>
      </c>
      <c r="J768">
        <v>2</v>
      </c>
      <c r="K768">
        <v>516.55684942797097</v>
      </c>
      <c r="L768">
        <v>154.96705482839101</v>
      </c>
      <c r="M768" t="s">
        <v>24</v>
      </c>
      <c r="N768">
        <f>Supermarket_Sales_Case_Study[[#This Row],[Sales_Amount]]-Supermarket_Sales_Case_Study[[#This Row],[Profit]]</f>
        <v>361.58979459957993</v>
      </c>
      <c r="O768" s="2">
        <f>(Supermarket_Sales_Case_Study[[#This Row],[Sales_Amount]]-Supermarket_Sales_Case_Study[[#This Row],[Purchase]])/Supermarket_Sales_Case_Study[[#This Row],[Sales_Amount]]</f>
        <v>0.29999999999999949</v>
      </c>
      <c r="P768">
        <f>Supermarket_Sales_Case_Study[[#This Row],[Quantity]]*Supermarket_Sales_Case_Study[[#This Row],[Sales_Amount]]</f>
        <v>1033.1136988559419</v>
      </c>
    </row>
    <row r="769" spans="1:16" x14ac:dyDescent="0.3">
      <c r="A769" t="s">
        <v>799</v>
      </c>
      <c r="B769" t="s">
        <v>21</v>
      </c>
      <c r="C769" t="s">
        <v>36</v>
      </c>
      <c r="D769">
        <v>1544</v>
      </c>
      <c r="E769" t="s">
        <v>16</v>
      </c>
      <c r="F769" t="s">
        <v>17</v>
      </c>
      <c r="G769" t="s">
        <v>28</v>
      </c>
      <c r="H769" s="1">
        <v>45363</v>
      </c>
      <c r="I769">
        <v>113.462926370749</v>
      </c>
      <c r="J769">
        <v>6</v>
      </c>
      <c r="K769">
        <v>680.77755822449399</v>
      </c>
      <c r="L769">
        <v>204.23326746734801</v>
      </c>
      <c r="M769" t="s">
        <v>24</v>
      </c>
      <c r="N769">
        <f>Supermarket_Sales_Case_Study[[#This Row],[Sales_Amount]]-Supermarket_Sales_Case_Study[[#This Row],[Profit]]</f>
        <v>476.54429075714597</v>
      </c>
      <c r="O769" s="2">
        <f>(Supermarket_Sales_Case_Study[[#This Row],[Sales_Amount]]-Supermarket_Sales_Case_Study[[#This Row],[Purchase]])/Supermarket_Sales_Case_Study[[#This Row],[Sales_Amount]]</f>
        <v>0.29999999999999971</v>
      </c>
      <c r="P769">
        <f>Supermarket_Sales_Case_Study[[#This Row],[Quantity]]*Supermarket_Sales_Case_Study[[#This Row],[Sales_Amount]]</f>
        <v>4084.6653493469639</v>
      </c>
    </row>
    <row r="770" spans="1:16" x14ac:dyDescent="0.3">
      <c r="A770" t="s">
        <v>800</v>
      </c>
      <c r="B770" t="s">
        <v>21</v>
      </c>
      <c r="C770" t="s">
        <v>36</v>
      </c>
      <c r="D770">
        <v>2490</v>
      </c>
      <c r="E770" t="s">
        <v>16</v>
      </c>
      <c r="F770" t="s">
        <v>22</v>
      </c>
      <c r="G770" t="s">
        <v>33</v>
      </c>
      <c r="H770" s="1">
        <v>45342</v>
      </c>
      <c r="I770">
        <v>229.664689180708</v>
      </c>
      <c r="J770">
        <v>2</v>
      </c>
      <c r="K770">
        <v>459.32937836141599</v>
      </c>
      <c r="L770">
        <v>137.79881350842399</v>
      </c>
      <c r="M770" t="s">
        <v>34</v>
      </c>
      <c r="N770">
        <f>Supermarket_Sales_Case_Study[[#This Row],[Sales_Amount]]-Supermarket_Sales_Case_Study[[#This Row],[Profit]]</f>
        <v>321.53056485299203</v>
      </c>
      <c r="O770" s="2">
        <f>(Supermarket_Sales_Case_Study[[#This Row],[Sales_Amount]]-Supermarket_Sales_Case_Study[[#This Row],[Purchase]])/Supermarket_Sales_Case_Study[[#This Row],[Sales_Amount]]</f>
        <v>0.29999999999999816</v>
      </c>
      <c r="P770">
        <f>Supermarket_Sales_Case_Study[[#This Row],[Quantity]]*Supermarket_Sales_Case_Study[[#This Row],[Sales_Amount]]</f>
        <v>918.65875672283198</v>
      </c>
    </row>
    <row r="771" spans="1:16" x14ac:dyDescent="0.3">
      <c r="A771" t="s">
        <v>801</v>
      </c>
      <c r="B771" t="s">
        <v>14</v>
      </c>
      <c r="C771" t="s">
        <v>30</v>
      </c>
      <c r="D771">
        <v>2224</v>
      </c>
      <c r="E771" t="s">
        <v>16</v>
      </c>
      <c r="F771" t="s">
        <v>17</v>
      </c>
      <c r="G771" t="s">
        <v>31</v>
      </c>
      <c r="H771" s="1">
        <v>45326</v>
      </c>
      <c r="I771">
        <v>95.570981286649697</v>
      </c>
      <c r="J771">
        <v>6</v>
      </c>
      <c r="K771">
        <v>573.42588771989801</v>
      </c>
      <c r="L771">
        <v>172.02776631596899</v>
      </c>
      <c r="M771" t="s">
        <v>24</v>
      </c>
      <c r="N771">
        <f>Supermarket_Sales_Case_Study[[#This Row],[Sales_Amount]]-Supermarket_Sales_Case_Study[[#This Row],[Profit]]</f>
        <v>401.39812140392905</v>
      </c>
      <c r="O771" s="2">
        <f>(Supermarket_Sales_Case_Study[[#This Row],[Sales_Amount]]-Supermarket_Sales_Case_Study[[#This Row],[Purchase]])/Supermarket_Sales_Case_Study[[#This Row],[Sales_Amount]]</f>
        <v>0.29999999999999921</v>
      </c>
      <c r="P771">
        <f>Supermarket_Sales_Case_Study[[#This Row],[Quantity]]*Supermarket_Sales_Case_Study[[#This Row],[Sales_Amount]]</f>
        <v>3440.5553263193879</v>
      </c>
    </row>
    <row r="772" spans="1:16" x14ac:dyDescent="0.3">
      <c r="A772" t="s">
        <v>802</v>
      </c>
      <c r="B772" t="s">
        <v>39</v>
      </c>
      <c r="C772" t="s">
        <v>30</v>
      </c>
      <c r="D772">
        <v>1539</v>
      </c>
      <c r="E772" t="s">
        <v>26</v>
      </c>
      <c r="F772" t="s">
        <v>17</v>
      </c>
      <c r="G772" t="s">
        <v>28</v>
      </c>
      <c r="H772" s="1">
        <v>45373</v>
      </c>
      <c r="I772">
        <v>96.668569225118901</v>
      </c>
      <c r="J772">
        <v>2</v>
      </c>
      <c r="K772">
        <v>193.33713845023701</v>
      </c>
      <c r="L772">
        <v>58.001141535071298</v>
      </c>
      <c r="M772" t="s">
        <v>19</v>
      </c>
      <c r="N772">
        <f>Supermarket_Sales_Case_Study[[#This Row],[Sales_Amount]]-Supermarket_Sales_Case_Study[[#This Row],[Profit]]</f>
        <v>135.33599691516571</v>
      </c>
      <c r="O772" s="2">
        <f>(Supermarket_Sales_Case_Study[[#This Row],[Sales_Amount]]-Supermarket_Sales_Case_Study[[#This Row],[Purchase]])/Supermarket_Sales_Case_Study[[#This Row],[Sales_Amount]]</f>
        <v>0.30000000000000099</v>
      </c>
      <c r="P772">
        <f>Supermarket_Sales_Case_Study[[#This Row],[Quantity]]*Supermarket_Sales_Case_Study[[#This Row],[Sales_Amount]]</f>
        <v>386.67427690047401</v>
      </c>
    </row>
    <row r="773" spans="1:16" x14ac:dyDescent="0.3">
      <c r="A773" t="s">
        <v>803</v>
      </c>
      <c r="B773" t="s">
        <v>21</v>
      </c>
      <c r="C773" t="s">
        <v>15</v>
      </c>
      <c r="D773">
        <v>2016</v>
      </c>
      <c r="E773" t="s">
        <v>26</v>
      </c>
      <c r="F773" t="s">
        <v>22</v>
      </c>
      <c r="G773" t="s">
        <v>33</v>
      </c>
      <c r="H773" s="1">
        <v>45296</v>
      </c>
      <c r="I773">
        <v>41.0465817807139</v>
      </c>
      <c r="J773">
        <v>4</v>
      </c>
      <c r="K773">
        <v>164.186327122855</v>
      </c>
      <c r="L773">
        <v>49.2558981368567</v>
      </c>
      <c r="M773" t="s">
        <v>19</v>
      </c>
      <c r="N773">
        <f>Supermarket_Sales_Case_Study[[#This Row],[Sales_Amount]]-Supermarket_Sales_Case_Study[[#This Row],[Profit]]</f>
        <v>114.9304289859983</v>
      </c>
      <c r="O773" s="2">
        <f>(Supermarket_Sales_Case_Study[[#This Row],[Sales_Amount]]-Supermarket_Sales_Case_Study[[#This Row],[Purchase]])/Supermarket_Sales_Case_Study[[#This Row],[Sales_Amount]]</f>
        <v>0.30000000000000121</v>
      </c>
      <c r="P773">
        <f>Supermarket_Sales_Case_Study[[#This Row],[Quantity]]*Supermarket_Sales_Case_Study[[#This Row],[Sales_Amount]]</f>
        <v>656.74530849142002</v>
      </c>
    </row>
    <row r="774" spans="1:16" x14ac:dyDescent="0.3">
      <c r="A774" t="s">
        <v>804</v>
      </c>
      <c r="B774" t="s">
        <v>21</v>
      </c>
      <c r="C774" t="s">
        <v>36</v>
      </c>
      <c r="D774">
        <v>1393</v>
      </c>
      <c r="E774" t="s">
        <v>26</v>
      </c>
      <c r="F774" t="s">
        <v>17</v>
      </c>
      <c r="G774" t="s">
        <v>23</v>
      </c>
      <c r="H774" s="1">
        <v>45305</v>
      </c>
      <c r="I774">
        <v>137.61683348772499</v>
      </c>
      <c r="J774">
        <v>7</v>
      </c>
      <c r="K774">
        <v>963.31783441407902</v>
      </c>
      <c r="L774">
        <v>288.99535032422301</v>
      </c>
      <c r="M774" t="s">
        <v>34</v>
      </c>
      <c r="N774">
        <f>Supermarket_Sales_Case_Study[[#This Row],[Sales_Amount]]-Supermarket_Sales_Case_Study[[#This Row],[Profit]]</f>
        <v>674.32248408985606</v>
      </c>
      <c r="O774" s="2">
        <f>(Supermarket_Sales_Case_Study[[#This Row],[Sales_Amount]]-Supermarket_Sales_Case_Study[[#This Row],[Purchase]])/Supermarket_Sales_Case_Study[[#This Row],[Sales_Amount]]</f>
        <v>0.29999999999999921</v>
      </c>
      <c r="P774">
        <f>Supermarket_Sales_Case_Study[[#This Row],[Quantity]]*Supermarket_Sales_Case_Study[[#This Row],[Sales_Amount]]</f>
        <v>6743.2248408985533</v>
      </c>
    </row>
    <row r="775" spans="1:16" x14ac:dyDescent="0.3">
      <c r="A775" t="s">
        <v>805</v>
      </c>
      <c r="B775" t="s">
        <v>14</v>
      </c>
      <c r="C775" t="s">
        <v>30</v>
      </c>
      <c r="D775">
        <v>1832</v>
      </c>
      <c r="E775" t="s">
        <v>26</v>
      </c>
      <c r="F775" t="s">
        <v>17</v>
      </c>
      <c r="G775" t="s">
        <v>28</v>
      </c>
      <c r="H775" s="1">
        <v>45321</v>
      </c>
      <c r="I775">
        <v>221.616452884252</v>
      </c>
      <c r="J775">
        <v>8</v>
      </c>
      <c r="K775">
        <v>1772.9316230740101</v>
      </c>
      <c r="L775">
        <v>531.87948692220505</v>
      </c>
      <c r="M775" t="s">
        <v>19</v>
      </c>
      <c r="N775">
        <f>Supermarket_Sales_Case_Study[[#This Row],[Sales_Amount]]-Supermarket_Sales_Case_Study[[#This Row],[Profit]]</f>
        <v>1241.0521361518049</v>
      </c>
      <c r="O775" s="2">
        <f>(Supermarket_Sales_Case_Study[[#This Row],[Sales_Amount]]-Supermarket_Sales_Case_Study[[#This Row],[Purchase]])/Supermarket_Sales_Case_Study[[#This Row],[Sales_Amount]]</f>
        <v>0.30000000000000121</v>
      </c>
      <c r="P775">
        <f>Supermarket_Sales_Case_Study[[#This Row],[Quantity]]*Supermarket_Sales_Case_Study[[#This Row],[Sales_Amount]]</f>
        <v>14183.452984592081</v>
      </c>
    </row>
    <row r="776" spans="1:16" x14ac:dyDescent="0.3">
      <c r="A776" t="s">
        <v>806</v>
      </c>
      <c r="B776" t="s">
        <v>21</v>
      </c>
      <c r="C776" t="s">
        <v>36</v>
      </c>
      <c r="D776">
        <v>2065</v>
      </c>
      <c r="E776" t="s">
        <v>26</v>
      </c>
      <c r="F776" t="s">
        <v>22</v>
      </c>
      <c r="G776" t="s">
        <v>28</v>
      </c>
      <c r="H776" s="1">
        <v>45295</v>
      </c>
      <c r="I776">
        <v>282.664033615672</v>
      </c>
      <c r="J776">
        <v>3</v>
      </c>
      <c r="K776">
        <v>847.99210084701701</v>
      </c>
      <c r="L776">
        <v>254.397630254105</v>
      </c>
      <c r="M776" t="s">
        <v>24</v>
      </c>
      <c r="N776">
        <f>Supermarket_Sales_Case_Study[[#This Row],[Sales_Amount]]-Supermarket_Sales_Case_Study[[#This Row],[Profit]]</f>
        <v>593.59447059291199</v>
      </c>
      <c r="O776" s="2">
        <f>(Supermarket_Sales_Case_Study[[#This Row],[Sales_Amount]]-Supermarket_Sales_Case_Study[[#This Row],[Purchase]])/Supermarket_Sales_Case_Study[[#This Row],[Sales_Amount]]</f>
        <v>0.29999999999999993</v>
      </c>
      <c r="P776">
        <f>Supermarket_Sales_Case_Study[[#This Row],[Quantity]]*Supermarket_Sales_Case_Study[[#This Row],[Sales_Amount]]</f>
        <v>2543.9763025410512</v>
      </c>
    </row>
    <row r="777" spans="1:16" x14ac:dyDescent="0.3">
      <c r="A777" t="s">
        <v>807</v>
      </c>
      <c r="B777" t="s">
        <v>39</v>
      </c>
      <c r="C777" t="s">
        <v>15</v>
      </c>
      <c r="D777">
        <v>1596</v>
      </c>
      <c r="E777" t="s">
        <v>26</v>
      </c>
      <c r="F777" t="s">
        <v>22</v>
      </c>
      <c r="G777" t="s">
        <v>18</v>
      </c>
      <c r="H777" s="1">
        <v>45330</v>
      </c>
      <c r="I777">
        <v>185.101127659437</v>
      </c>
      <c r="J777">
        <v>9</v>
      </c>
      <c r="K777">
        <v>1665.91014893494</v>
      </c>
      <c r="L777">
        <v>499.77304468048197</v>
      </c>
      <c r="M777" t="s">
        <v>34</v>
      </c>
      <c r="N777">
        <f>Supermarket_Sales_Case_Study[[#This Row],[Sales_Amount]]-Supermarket_Sales_Case_Study[[#This Row],[Profit]]</f>
        <v>1166.1371042544581</v>
      </c>
      <c r="O777" s="2">
        <f>(Supermarket_Sales_Case_Study[[#This Row],[Sales_Amount]]-Supermarket_Sales_Case_Study[[#This Row],[Purchase]])/Supermarket_Sales_Case_Study[[#This Row],[Sales_Amount]]</f>
        <v>0.29999999999999993</v>
      </c>
      <c r="P777">
        <f>Supermarket_Sales_Case_Study[[#This Row],[Quantity]]*Supermarket_Sales_Case_Study[[#This Row],[Sales_Amount]]</f>
        <v>14993.19134041446</v>
      </c>
    </row>
    <row r="778" spans="1:16" x14ac:dyDescent="0.3">
      <c r="A778" t="s">
        <v>808</v>
      </c>
      <c r="B778" t="s">
        <v>14</v>
      </c>
      <c r="C778" t="s">
        <v>30</v>
      </c>
      <c r="D778">
        <v>1392</v>
      </c>
      <c r="E778" t="s">
        <v>16</v>
      </c>
      <c r="F778" t="s">
        <v>17</v>
      </c>
      <c r="G778" t="s">
        <v>23</v>
      </c>
      <c r="H778" s="1">
        <v>45375</v>
      </c>
      <c r="I778">
        <v>260.309305943364</v>
      </c>
      <c r="J778">
        <v>2</v>
      </c>
      <c r="K778">
        <v>520.61861188672799</v>
      </c>
      <c r="L778">
        <v>156.18558356601801</v>
      </c>
      <c r="M778" t="s">
        <v>24</v>
      </c>
      <c r="N778">
        <f>Supermarket_Sales_Case_Study[[#This Row],[Sales_Amount]]-Supermarket_Sales_Case_Study[[#This Row],[Profit]]</f>
        <v>364.43302832070998</v>
      </c>
      <c r="O778" s="2">
        <f>(Supermarket_Sales_Case_Study[[#This Row],[Sales_Amount]]-Supermarket_Sales_Case_Study[[#This Row],[Purchase]])/Supermarket_Sales_Case_Study[[#This Row],[Sales_Amount]]</f>
        <v>0.29999999999999927</v>
      </c>
      <c r="P778">
        <f>Supermarket_Sales_Case_Study[[#This Row],[Quantity]]*Supermarket_Sales_Case_Study[[#This Row],[Sales_Amount]]</f>
        <v>1041.237223773456</v>
      </c>
    </row>
    <row r="779" spans="1:16" x14ac:dyDescent="0.3">
      <c r="A779" t="s">
        <v>809</v>
      </c>
      <c r="B779" t="s">
        <v>21</v>
      </c>
      <c r="C779" t="s">
        <v>30</v>
      </c>
      <c r="D779">
        <v>1699</v>
      </c>
      <c r="E779" t="s">
        <v>16</v>
      </c>
      <c r="F779" t="s">
        <v>17</v>
      </c>
      <c r="G779" t="s">
        <v>31</v>
      </c>
      <c r="H779" s="1">
        <v>45355</v>
      </c>
      <c r="I779">
        <v>248.52344829416501</v>
      </c>
      <c r="J779">
        <v>8</v>
      </c>
      <c r="K779">
        <v>1988.1875863533201</v>
      </c>
      <c r="L779">
        <v>596.45627590599804</v>
      </c>
      <c r="M779" t="s">
        <v>34</v>
      </c>
      <c r="N779">
        <f>Supermarket_Sales_Case_Study[[#This Row],[Sales_Amount]]-Supermarket_Sales_Case_Study[[#This Row],[Profit]]</f>
        <v>1391.7313104473219</v>
      </c>
      <c r="O779" s="2">
        <f>(Supermarket_Sales_Case_Study[[#This Row],[Sales_Amount]]-Supermarket_Sales_Case_Study[[#This Row],[Purchase]])/Supermarket_Sales_Case_Study[[#This Row],[Sales_Amount]]</f>
        <v>0.3000000000000011</v>
      </c>
      <c r="P779">
        <f>Supermarket_Sales_Case_Study[[#This Row],[Quantity]]*Supermarket_Sales_Case_Study[[#This Row],[Sales_Amount]]</f>
        <v>15905.50069082656</v>
      </c>
    </row>
    <row r="780" spans="1:16" x14ac:dyDescent="0.3">
      <c r="A780" t="s">
        <v>810</v>
      </c>
      <c r="B780" t="s">
        <v>14</v>
      </c>
      <c r="C780" t="s">
        <v>30</v>
      </c>
      <c r="D780">
        <v>1440</v>
      </c>
      <c r="E780" t="s">
        <v>26</v>
      </c>
      <c r="F780" t="s">
        <v>22</v>
      </c>
      <c r="G780" t="s">
        <v>37</v>
      </c>
      <c r="H780" s="1">
        <v>45316</v>
      </c>
      <c r="I780">
        <v>60.269485362831396</v>
      </c>
      <c r="J780">
        <v>8</v>
      </c>
      <c r="K780">
        <v>482.155882902651</v>
      </c>
      <c r="L780">
        <v>144.64676487079501</v>
      </c>
      <c r="M780" t="s">
        <v>34</v>
      </c>
      <c r="N780">
        <f>Supermarket_Sales_Case_Study[[#This Row],[Sales_Amount]]-Supermarket_Sales_Case_Study[[#This Row],[Profit]]</f>
        <v>337.50911803185602</v>
      </c>
      <c r="O780" s="2">
        <f>(Supermarket_Sales_Case_Study[[#This Row],[Sales_Amount]]-Supermarket_Sales_Case_Study[[#This Row],[Purchase]])/Supermarket_Sales_Case_Study[[#This Row],[Sales_Amount]]</f>
        <v>0.29999999999999932</v>
      </c>
      <c r="P780">
        <f>Supermarket_Sales_Case_Study[[#This Row],[Quantity]]*Supermarket_Sales_Case_Study[[#This Row],[Sales_Amount]]</f>
        <v>3857.247063221208</v>
      </c>
    </row>
    <row r="781" spans="1:16" x14ac:dyDescent="0.3">
      <c r="A781" t="s">
        <v>811</v>
      </c>
      <c r="B781" t="s">
        <v>21</v>
      </c>
      <c r="C781" t="s">
        <v>15</v>
      </c>
      <c r="D781">
        <v>1917</v>
      </c>
      <c r="E781" t="s">
        <v>16</v>
      </c>
      <c r="F781" t="s">
        <v>17</v>
      </c>
      <c r="G781" t="s">
        <v>33</v>
      </c>
      <c r="H781" s="1">
        <v>45319</v>
      </c>
      <c r="I781">
        <v>150.887054384663</v>
      </c>
      <c r="J781">
        <v>4</v>
      </c>
      <c r="K781">
        <v>603.54821753865201</v>
      </c>
      <c r="L781">
        <v>181.06446526159499</v>
      </c>
      <c r="M781" t="s">
        <v>24</v>
      </c>
      <c r="N781">
        <f>Supermarket_Sales_Case_Study[[#This Row],[Sales_Amount]]-Supermarket_Sales_Case_Study[[#This Row],[Profit]]</f>
        <v>422.48375227705702</v>
      </c>
      <c r="O781" s="2">
        <f>(Supermarket_Sales_Case_Study[[#This Row],[Sales_Amount]]-Supermarket_Sales_Case_Study[[#This Row],[Purchase]])/Supermarket_Sales_Case_Study[[#This Row],[Sales_Amount]]</f>
        <v>0.29999999999999899</v>
      </c>
      <c r="P781">
        <f>Supermarket_Sales_Case_Study[[#This Row],[Quantity]]*Supermarket_Sales_Case_Study[[#This Row],[Sales_Amount]]</f>
        <v>2414.192870154608</v>
      </c>
    </row>
    <row r="782" spans="1:16" x14ac:dyDescent="0.3">
      <c r="A782" t="s">
        <v>812</v>
      </c>
      <c r="B782" t="s">
        <v>21</v>
      </c>
      <c r="C782" t="s">
        <v>36</v>
      </c>
      <c r="D782">
        <v>1319</v>
      </c>
      <c r="E782" t="s">
        <v>16</v>
      </c>
      <c r="F782" t="s">
        <v>17</v>
      </c>
      <c r="G782" t="s">
        <v>18</v>
      </c>
      <c r="H782" s="1">
        <v>45367</v>
      </c>
      <c r="I782">
        <v>43.907825302363499</v>
      </c>
      <c r="J782">
        <v>1</v>
      </c>
      <c r="K782">
        <v>43.907825302363499</v>
      </c>
      <c r="L782">
        <v>13.172347590709</v>
      </c>
      <c r="M782" t="s">
        <v>19</v>
      </c>
      <c r="N782">
        <f>Supermarket_Sales_Case_Study[[#This Row],[Sales_Amount]]-Supermarket_Sales_Case_Study[[#This Row],[Profit]]</f>
        <v>30.735477711654497</v>
      </c>
      <c r="O782" s="2">
        <f>(Supermarket_Sales_Case_Study[[#This Row],[Sales_Amount]]-Supermarket_Sales_Case_Study[[#This Row],[Purchase]])/Supermarket_Sales_Case_Study[[#This Row],[Sales_Amount]]</f>
        <v>0.29999999999999893</v>
      </c>
      <c r="P782">
        <f>Supermarket_Sales_Case_Study[[#This Row],[Quantity]]*Supermarket_Sales_Case_Study[[#This Row],[Sales_Amount]]</f>
        <v>43.907825302363499</v>
      </c>
    </row>
    <row r="783" spans="1:16" x14ac:dyDescent="0.3">
      <c r="A783" t="s">
        <v>813</v>
      </c>
      <c r="B783" t="s">
        <v>21</v>
      </c>
      <c r="C783" t="s">
        <v>30</v>
      </c>
      <c r="D783">
        <v>1552</v>
      </c>
      <c r="E783" t="s">
        <v>26</v>
      </c>
      <c r="F783" t="s">
        <v>17</v>
      </c>
      <c r="G783" t="s">
        <v>33</v>
      </c>
      <c r="H783" s="1">
        <v>45357</v>
      </c>
      <c r="I783">
        <v>207.82441685287401</v>
      </c>
      <c r="J783">
        <v>1</v>
      </c>
      <c r="K783">
        <v>207.82441685287401</v>
      </c>
      <c r="L783">
        <v>62.3473250558622</v>
      </c>
      <c r="M783" t="s">
        <v>19</v>
      </c>
      <c r="N783">
        <f>Supermarket_Sales_Case_Study[[#This Row],[Sales_Amount]]-Supermarket_Sales_Case_Study[[#This Row],[Profit]]</f>
        <v>145.47709179701181</v>
      </c>
      <c r="O783" s="2">
        <f>(Supermarket_Sales_Case_Study[[#This Row],[Sales_Amount]]-Supermarket_Sales_Case_Study[[#This Row],[Purchase]])/Supermarket_Sales_Case_Study[[#This Row],[Sales_Amount]]</f>
        <v>0.3</v>
      </c>
      <c r="P783">
        <f>Supermarket_Sales_Case_Study[[#This Row],[Quantity]]*Supermarket_Sales_Case_Study[[#This Row],[Sales_Amount]]</f>
        <v>207.82441685287401</v>
      </c>
    </row>
    <row r="784" spans="1:16" x14ac:dyDescent="0.3">
      <c r="A784" t="s">
        <v>814</v>
      </c>
      <c r="B784" t="s">
        <v>39</v>
      </c>
      <c r="C784" t="s">
        <v>15</v>
      </c>
      <c r="D784">
        <v>2238</v>
      </c>
      <c r="E784" t="s">
        <v>16</v>
      </c>
      <c r="F784" t="s">
        <v>22</v>
      </c>
      <c r="G784" t="s">
        <v>31</v>
      </c>
      <c r="H784" s="1">
        <v>45369</v>
      </c>
      <c r="I784">
        <v>285.47090379136199</v>
      </c>
      <c r="J784">
        <v>2</v>
      </c>
      <c r="K784">
        <v>570.94180758272398</v>
      </c>
      <c r="L784">
        <v>171.28254227481699</v>
      </c>
      <c r="M784" t="s">
        <v>34</v>
      </c>
      <c r="N784">
        <f>Supermarket_Sales_Case_Study[[#This Row],[Sales_Amount]]-Supermarket_Sales_Case_Study[[#This Row],[Profit]]</f>
        <v>399.65926530790699</v>
      </c>
      <c r="O784" s="2">
        <f>(Supermarket_Sales_Case_Study[[#This Row],[Sales_Amount]]-Supermarket_Sales_Case_Study[[#This Row],[Purchase]])/Supermarket_Sales_Case_Study[[#This Row],[Sales_Amount]]</f>
        <v>0.29999999999999966</v>
      </c>
      <c r="P784">
        <f>Supermarket_Sales_Case_Study[[#This Row],[Quantity]]*Supermarket_Sales_Case_Study[[#This Row],[Sales_Amount]]</f>
        <v>1141.883615165448</v>
      </c>
    </row>
    <row r="785" spans="1:16" x14ac:dyDescent="0.3">
      <c r="A785" t="s">
        <v>815</v>
      </c>
      <c r="B785" t="s">
        <v>39</v>
      </c>
      <c r="C785" t="s">
        <v>36</v>
      </c>
      <c r="D785">
        <v>2094</v>
      </c>
      <c r="E785" t="s">
        <v>26</v>
      </c>
      <c r="F785" t="s">
        <v>17</v>
      </c>
      <c r="G785" t="s">
        <v>31</v>
      </c>
      <c r="H785" s="1">
        <v>45313</v>
      </c>
      <c r="I785">
        <v>49.755942842839303</v>
      </c>
      <c r="J785">
        <v>9</v>
      </c>
      <c r="K785">
        <v>447.80348558555397</v>
      </c>
      <c r="L785">
        <v>134.34104567566601</v>
      </c>
      <c r="M785" t="s">
        <v>24</v>
      </c>
      <c r="N785">
        <f>Supermarket_Sales_Case_Study[[#This Row],[Sales_Amount]]-Supermarket_Sales_Case_Study[[#This Row],[Profit]]</f>
        <v>313.46243990988796</v>
      </c>
      <c r="O785" s="2">
        <f>(Supermarket_Sales_Case_Study[[#This Row],[Sales_Amount]]-Supermarket_Sales_Case_Study[[#This Row],[Purchase]])/Supermarket_Sales_Case_Study[[#This Row],[Sales_Amount]]</f>
        <v>0.2999999999999996</v>
      </c>
      <c r="P785">
        <f>Supermarket_Sales_Case_Study[[#This Row],[Quantity]]*Supermarket_Sales_Case_Study[[#This Row],[Sales_Amount]]</f>
        <v>4030.2313702699857</v>
      </c>
    </row>
    <row r="786" spans="1:16" x14ac:dyDescent="0.3">
      <c r="A786" t="s">
        <v>816</v>
      </c>
      <c r="B786" t="s">
        <v>14</v>
      </c>
      <c r="C786" t="s">
        <v>15</v>
      </c>
      <c r="D786">
        <v>1567</v>
      </c>
      <c r="E786" t="s">
        <v>26</v>
      </c>
      <c r="F786" t="s">
        <v>17</v>
      </c>
      <c r="G786" t="s">
        <v>28</v>
      </c>
      <c r="H786" s="1">
        <v>45322</v>
      </c>
      <c r="I786">
        <v>222.82610793273699</v>
      </c>
      <c r="J786">
        <v>2</v>
      </c>
      <c r="K786">
        <v>445.65221586547398</v>
      </c>
      <c r="L786">
        <v>133.695664759642</v>
      </c>
      <c r="M786" t="s">
        <v>24</v>
      </c>
      <c r="N786">
        <f>Supermarket_Sales_Case_Study[[#This Row],[Sales_Amount]]-Supermarket_Sales_Case_Study[[#This Row],[Profit]]</f>
        <v>311.95655110583198</v>
      </c>
      <c r="O786" s="2">
        <f>(Supermarket_Sales_Case_Study[[#This Row],[Sales_Amount]]-Supermarket_Sales_Case_Study[[#This Row],[Purchase]])/Supermarket_Sales_Case_Study[[#This Row],[Sales_Amount]]</f>
        <v>0.29999999999999954</v>
      </c>
      <c r="P786">
        <f>Supermarket_Sales_Case_Study[[#This Row],[Quantity]]*Supermarket_Sales_Case_Study[[#This Row],[Sales_Amount]]</f>
        <v>891.30443173094795</v>
      </c>
    </row>
    <row r="787" spans="1:16" x14ac:dyDescent="0.3">
      <c r="A787" t="s">
        <v>817</v>
      </c>
      <c r="B787" t="s">
        <v>21</v>
      </c>
      <c r="C787" t="s">
        <v>36</v>
      </c>
      <c r="D787">
        <v>1918</v>
      </c>
      <c r="E787" t="s">
        <v>16</v>
      </c>
      <c r="F787" t="s">
        <v>22</v>
      </c>
      <c r="G787" t="s">
        <v>31</v>
      </c>
      <c r="H787" s="1">
        <v>45314</v>
      </c>
      <c r="I787">
        <v>193.34906375167901</v>
      </c>
      <c r="J787">
        <v>2</v>
      </c>
      <c r="K787">
        <v>386.69812750335899</v>
      </c>
      <c r="L787">
        <v>116.009438251007</v>
      </c>
      <c r="M787" t="s">
        <v>34</v>
      </c>
      <c r="N787">
        <f>Supermarket_Sales_Case_Study[[#This Row],[Sales_Amount]]-Supermarket_Sales_Case_Study[[#This Row],[Profit]]</f>
        <v>270.68868925235199</v>
      </c>
      <c r="O787" s="2">
        <f>(Supermarket_Sales_Case_Study[[#This Row],[Sales_Amount]]-Supermarket_Sales_Case_Study[[#This Row],[Purchase]])/Supermarket_Sales_Case_Study[[#This Row],[Sales_Amount]]</f>
        <v>0.29999999999999821</v>
      </c>
      <c r="P787">
        <f>Supermarket_Sales_Case_Study[[#This Row],[Quantity]]*Supermarket_Sales_Case_Study[[#This Row],[Sales_Amount]]</f>
        <v>773.39625500671798</v>
      </c>
    </row>
    <row r="788" spans="1:16" x14ac:dyDescent="0.3">
      <c r="A788" t="s">
        <v>818</v>
      </c>
      <c r="B788" t="s">
        <v>21</v>
      </c>
      <c r="C788" t="s">
        <v>15</v>
      </c>
      <c r="D788">
        <v>1235</v>
      </c>
      <c r="E788" t="s">
        <v>26</v>
      </c>
      <c r="F788" t="s">
        <v>17</v>
      </c>
      <c r="G788" t="s">
        <v>33</v>
      </c>
      <c r="H788" s="1">
        <v>45339</v>
      </c>
      <c r="I788">
        <v>179.24546073234799</v>
      </c>
      <c r="J788">
        <v>6</v>
      </c>
      <c r="K788">
        <v>1075.4727643940901</v>
      </c>
      <c r="L788">
        <v>322.64182931822802</v>
      </c>
      <c r="M788" t="s">
        <v>19</v>
      </c>
      <c r="N788">
        <f>Supermarket_Sales_Case_Study[[#This Row],[Sales_Amount]]-Supermarket_Sales_Case_Study[[#This Row],[Profit]]</f>
        <v>752.83093507586204</v>
      </c>
      <c r="O788" s="2">
        <f>(Supermarket_Sales_Case_Study[[#This Row],[Sales_Amount]]-Supermarket_Sales_Case_Study[[#This Row],[Purchase]])/Supermarket_Sales_Case_Study[[#This Row],[Sales_Amount]]</f>
        <v>0.30000000000000093</v>
      </c>
      <c r="P788">
        <f>Supermarket_Sales_Case_Study[[#This Row],[Quantity]]*Supermarket_Sales_Case_Study[[#This Row],[Sales_Amount]]</f>
        <v>6452.8365863645404</v>
      </c>
    </row>
    <row r="789" spans="1:16" x14ac:dyDescent="0.3">
      <c r="A789" t="s">
        <v>819</v>
      </c>
      <c r="B789" t="s">
        <v>39</v>
      </c>
      <c r="C789" t="s">
        <v>36</v>
      </c>
      <c r="D789">
        <v>2304</v>
      </c>
      <c r="E789" t="s">
        <v>26</v>
      </c>
      <c r="F789" t="s">
        <v>17</v>
      </c>
      <c r="G789" t="s">
        <v>23</v>
      </c>
      <c r="H789" s="1">
        <v>45311</v>
      </c>
      <c r="I789">
        <v>123.134868059618</v>
      </c>
      <c r="J789">
        <v>7</v>
      </c>
      <c r="K789">
        <v>861.94407641732801</v>
      </c>
      <c r="L789">
        <v>258.58322292519802</v>
      </c>
      <c r="M789" t="s">
        <v>24</v>
      </c>
      <c r="N789">
        <f>Supermarket_Sales_Case_Study[[#This Row],[Sales_Amount]]-Supermarket_Sales_Case_Study[[#This Row],[Profit]]</f>
        <v>603.36085349212999</v>
      </c>
      <c r="O789" s="2">
        <f>(Supermarket_Sales_Case_Study[[#This Row],[Sales_Amount]]-Supermarket_Sales_Case_Study[[#This Row],[Purchase]])/Supermarket_Sales_Case_Study[[#This Row],[Sales_Amount]]</f>
        <v>0.29999999999999954</v>
      </c>
      <c r="P789">
        <f>Supermarket_Sales_Case_Study[[#This Row],[Quantity]]*Supermarket_Sales_Case_Study[[#This Row],[Sales_Amount]]</f>
        <v>6033.6085349212963</v>
      </c>
    </row>
    <row r="790" spans="1:16" x14ac:dyDescent="0.3">
      <c r="A790" t="s">
        <v>820</v>
      </c>
      <c r="B790" t="s">
        <v>21</v>
      </c>
      <c r="C790" t="s">
        <v>30</v>
      </c>
      <c r="D790">
        <v>1986</v>
      </c>
      <c r="E790" t="s">
        <v>26</v>
      </c>
      <c r="F790" t="s">
        <v>22</v>
      </c>
      <c r="G790" t="s">
        <v>23</v>
      </c>
      <c r="H790" s="1">
        <v>45329</v>
      </c>
      <c r="I790">
        <v>112.98817784860501</v>
      </c>
      <c r="J790">
        <v>7</v>
      </c>
      <c r="K790">
        <v>790.91724494023902</v>
      </c>
      <c r="L790">
        <v>237.27517348207101</v>
      </c>
      <c r="M790" t="s">
        <v>19</v>
      </c>
      <c r="N790">
        <f>Supermarket_Sales_Case_Study[[#This Row],[Sales_Amount]]-Supermarket_Sales_Case_Study[[#This Row],[Profit]]</f>
        <v>553.64207145816795</v>
      </c>
      <c r="O790" s="2">
        <f>(Supermarket_Sales_Case_Study[[#This Row],[Sales_Amount]]-Supermarket_Sales_Case_Study[[#This Row],[Purchase]])/Supermarket_Sales_Case_Study[[#This Row],[Sales_Amount]]</f>
        <v>0.29999999999999921</v>
      </c>
      <c r="P790">
        <f>Supermarket_Sales_Case_Study[[#This Row],[Quantity]]*Supermarket_Sales_Case_Study[[#This Row],[Sales_Amount]]</f>
        <v>5536.4207145816727</v>
      </c>
    </row>
    <row r="791" spans="1:16" x14ac:dyDescent="0.3">
      <c r="A791" t="s">
        <v>821</v>
      </c>
      <c r="B791" t="s">
        <v>39</v>
      </c>
      <c r="C791" t="s">
        <v>36</v>
      </c>
      <c r="D791">
        <v>2185</v>
      </c>
      <c r="E791" t="s">
        <v>26</v>
      </c>
      <c r="F791" t="s">
        <v>22</v>
      </c>
      <c r="G791" t="s">
        <v>28</v>
      </c>
      <c r="H791" s="1">
        <v>45346</v>
      </c>
      <c r="I791">
        <v>23.122264815477401</v>
      </c>
      <c r="J791">
        <v>9</v>
      </c>
      <c r="K791">
        <v>208.100383339297</v>
      </c>
      <c r="L791">
        <v>62.430115001789098</v>
      </c>
      <c r="M791" t="s">
        <v>19</v>
      </c>
      <c r="N791">
        <f>Supermarket_Sales_Case_Study[[#This Row],[Sales_Amount]]-Supermarket_Sales_Case_Study[[#This Row],[Profit]]</f>
        <v>145.67026833750791</v>
      </c>
      <c r="O791" s="2">
        <f>(Supermarket_Sales_Case_Study[[#This Row],[Sales_Amount]]-Supermarket_Sales_Case_Study[[#This Row],[Purchase]])/Supermarket_Sales_Case_Study[[#This Row],[Sales_Amount]]</f>
        <v>0.29999999999999993</v>
      </c>
      <c r="P791">
        <f>Supermarket_Sales_Case_Study[[#This Row],[Quantity]]*Supermarket_Sales_Case_Study[[#This Row],[Sales_Amount]]</f>
        <v>1872.9034500536729</v>
      </c>
    </row>
    <row r="792" spans="1:16" x14ac:dyDescent="0.3">
      <c r="A792" t="s">
        <v>822</v>
      </c>
      <c r="B792" t="s">
        <v>21</v>
      </c>
      <c r="C792" t="s">
        <v>15</v>
      </c>
      <c r="D792">
        <v>2214</v>
      </c>
      <c r="E792" t="s">
        <v>26</v>
      </c>
      <c r="F792" t="s">
        <v>22</v>
      </c>
      <c r="G792" t="s">
        <v>37</v>
      </c>
      <c r="H792" s="1">
        <v>45359</v>
      </c>
      <c r="I792">
        <v>73.193525393083902</v>
      </c>
      <c r="J792">
        <v>6</v>
      </c>
      <c r="K792">
        <v>439.16115235850299</v>
      </c>
      <c r="L792">
        <v>131.74834570755101</v>
      </c>
      <c r="M792" t="s">
        <v>34</v>
      </c>
      <c r="N792">
        <f>Supermarket_Sales_Case_Study[[#This Row],[Sales_Amount]]-Supermarket_Sales_Case_Study[[#This Row],[Profit]]</f>
        <v>307.41280665095201</v>
      </c>
      <c r="O792" s="2">
        <f>(Supermarket_Sales_Case_Study[[#This Row],[Sales_Amount]]-Supermarket_Sales_Case_Study[[#This Row],[Purchase]])/Supermarket_Sales_Case_Study[[#This Row],[Sales_Amount]]</f>
        <v>0.30000000000000021</v>
      </c>
      <c r="P792">
        <f>Supermarket_Sales_Case_Study[[#This Row],[Quantity]]*Supermarket_Sales_Case_Study[[#This Row],[Sales_Amount]]</f>
        <v>2634.966914151018</v>
      </c>
    </row>
    <row r="793" spans="1:16" x14ac:dyDescent="0.3">
      <c r="A793" t="s">
        <v>823</v>
      </c>
      <c r="B793" t="s">
        <v>14</v>
      </c>
      <c r="C793" t="s">
        <v>15</v>
      </c>
      <c r="D793">
        <v>2032</v>
      </c>
      <c r="E793" t="s">
        <v>26</v>
      </c>
      <c r="F793" t="s">
        <v>22</v>
      </c>
      <c r="G793" t="s">
        <v>33</v>
      </c>
      <c r="H793" s="1">
        <v>45370</v>
      </c>
      <c r="I793">
        <v>14.401295863179801</v>
      </c>
      <c r="J793">
        <v>8</v>
      </c>
      <c r="K793">
        <v>115.21036690543799</v>
      </c>
      <c r="L793">
        <v>34.563110071631499</v>
      </c>
      <c r="M793" t="s">
        <v>34</v>
      </c>
      <c r="N793">
        <f>Supermarket_Sales_Case_Study[[#This Row],[Sales_Amount]]-Supermarket_Sales_Case_Study[[#This Row],[Profit]]</f>
        <v>80.647256833806495</v>
      </c>
      <c r="O793" s="2">
        <f>(Supermarket_Sales_Case_Study[[#This Row],[Sales_Amount]]-Supermarket_Sales_Case_Study[[#This Row],[Purchase]])/Supermarket_Sales_Case_Study[[#This Row],[Sales_Amount]]</f>
        <v>0.30000000000000088</v>
      </c>
      <c r="P793">
        <f>Supermarket_Sales_Case_Study[[#This Row],[Quantity]]*Supermarket_Sales_Case_Study[[#This Row],[Sales_Amount]]</f>
        <v>921.68293524350395</v>
      </c>
    </row>
    <row r="794" spans="1:16" x14ac:dyDescent="0.3">
      <c r="A794" t="s">
        <v>824</v>
      </c>
      <c r="B794" t="s">
        <v>21</v>
      </c>
      <c r="C794" t="s">
        <v>36</v>
      </c>
      <c r="D794">
        <v>1059</v>
      </c>
      <c r="E794" t="s">
        <v>26</v>
      </c>
      <c r="F794" t="s">
        <v>17</v>
      </c>
      <c r="G794" t="s">
        <v>33</v>
      </c>
      <c r="H794" s="1">
        <v>45379</v>
      </c>
      <c r="I794">
        <v>178.61096061878499</v>
      </c>
      <c r="J794">
        <v>6</v>
      </c>
      <c r="K794">
        <v>1071.66576371271</v>
      </c>
      <c r="L794">
        <v>321.499729113814</v>
      </c>
      <c r="M794" t="s">
        <v>19</v>
      </c>
      <c r="N794">
        <f>Supermarket_Sales_Case_Study[[#This Row],[Sales_Amount]]-Supermarket_Sales_Case_Study[[#This Row],[Profit]]</f>
        <v>750.16603459889598</v>
      </c>
      <c r="O794" s="2">
        <f>(Supermarket_Sales_Case_Study[[#This Row],[Sales_Amount]]-Supermarket_Sales_Case_Study[[#This Row],[Purchase]])/Supermarket_Sales_Case_Study[[#This Row],[Sales_Amount]]</f>
        <v>0.30000000000000099</v>
      </c>
      <c r="P794">
        <f>Supermarket_Sales_Case_Study[[#This Row],[Quantity]]*Supermarket_Sales_Case_Study[[#This Row],[Sales_Amount]]</f>
        <v>6429.9945822762602</v>
      </c>
    </row>
    <row r="795" spans="1:16" x14ac:dyDescent="0.3">
      <c r="A795" t="s">
        <v>825</v>
      </c>
      <c r="B795" t="s">
        <v>21</v>
      </c>
      <c r="C795" t="s">
        <v>30</v>
      </c>
      <c r="D795">
        <v>1892</v>
      </c>
      <c r="E795" t="s">
        <v>26</v>
      </c>
      <c r="F795" t="s">
        <v>17</v>
      </c>
      <c r="G795" t="s">
        <v>31</v>
      </c>
      <c r="H795" s="1">
        <v>45380</v>
      </c>
      <c r="I795">
        <v>40.697438404593498</v>
      </c>
      <c r="J795">
        <v>2</v>
      </c>
      <c r="K795">
        <v>81.394876809187096</v>
      </c>
      <c r="L795">
        <v>24.418463042756098</v>
      </c>
      <c r="M795" t="s">
        <v>24</v>
      </c>
      <c r="N795">
        <f>Supermarket_Sales_Case_Study[[#This Row],[Sales_Amount]]-Supermarket_Sales_Case_Study[[#This Row],[Profit]]</f>
        <v>56.976413766430994</v>
      </c>
      <c r="O795" s="2">
        <f>(Supermarket_Sales_Case_Study[[#This Row],[Sales_Amount]]-Supermarket_Sales_Case_Study[[#This Row],[Purchase]])/Supermarket_Sales_Case_Study[[#This Row],[Sales_Amount]]</f>
        <v>0.29999999999999966</v>
      </c>
      <c r="P795">
        <f>Supermarket_Sales_Case_Study[[#This Row],[Quantity]]*Supermarket_Sales_Case_Study[[#This Row],[Sales_Amount]]</f>
        <v>162.78975361837419</v>
      </c>
    </row>
    <row r="796" spans="1:16" x14ac:dyDescent="0.3">
      <c r="A796" t="s">
        <v>826</v>
      </c>
      <c r="B796" t="s">
        <v>39</v>
      </c>
      <c r="C796" t="s">
        <v>30</v>
      </c>
      <c r="D796">
        <v>1224</v>
      </c>
      <c r="E796" t="s">
        <v>16</v>
      </c>
      <c r="F796" t="s">
        <v>22</v>
      </c>
      <c r="G796" t="s">
        <v>33</v>
      </c>
      <c r="H796" s="1">
        <v>45292</v>
      </c>
      <c r="I796">
        <v>263.17562426861701</v>
      </c>
      <c r="J796">
        <v>1</v>
      </c>
      <c r="K796">
        <v>263.17562426861701</v>
      </c>
      <c r="L796">
        <v>78.952687280585295</v>
      </c>
      <c r="M796" t="s">
        <v>24</v>
      </c>
      <c r="N796">
        <f>Supermarket_Sales_Case_Study[[#This Row],[Sales_Amount]]-Supermarket_Sales_Case_Study[[#This Row],[Profit]]</f>
        <v>184.22293698803173</v>
      </c>
      <c r="O796" s="2">
        <f>(Supermarket_Sales_Case_Study[[#This Row],[Sales_Amount]]-Supermarket_Sales_Case_Study[[#This Row],[Purchase]])/Supermarket_Sales_Case_Study[[#This Row],[Sales_Amount]]</f>
        <v>0.30000000000000066</v>
      </c>
      <c r="P796">
        <f>Supermarket_Sales_Case_Study[[#This Row],[Quantity]]*Supermarket_Sales_Case_Study[[#This Row],[Sales_Amount]]</f>
        <v>263.17562426861701</v>
      </c>
    </row>
    <row r="797" spans="1:16" x14ac:dyDescent="0.3">
      <c r="A797" t="s">
        <v>827</v>
      </c>
      <c r="B797" t="s">
        <v>21</v>
      </c>
      <c r="C797" t="s">
        <v>36</v>
      </c>
      <c r="D797">
        <v>1699</v>
      </c>
      <c r="E797" t="s">
        <v>16</v>
      </c>
      <c r="F797" t="s">
        <v>22</v>
      </c>
      <c r="G797" t="s">
        <v>18</v>
      </c>
      <c r="H797" s="1">
        <v>45298</v>
      </c>
      <c r="I797">
        <v>161.71147600217699</v>
      </c>
      <c r="J797">
        <v>5</v>
      </c>
      <c r="K797">
        <v>808.55738001088901</v>
      </c>
      <c r="L797">
        <v>242.567214003266</v>
      </c>
      <c r="M797" t="s">
        <v>34</v>
      </c>
      <c r="N797">
        <f>Supermarket_Sales_Case_Study[[#This Row],[Sales_Amount]]-Supermarket_Sales_Case_Study[[#This Row],[Profit]]</f>
        <v>565.99016600762297</v>
      </c>
      <c r="O797" s="2">
        <f>(Supermarket_Sales_Case_Study[[#This Row],[Sales_Amount]]-Supermarket_Sales_Case_Study[[#This Row],[Purchase]])/Supermarket_Sales_Case_Study[[#This Row],[Sales_Amount]]</f>
        <v>0.29999999999999916</v>
      </c>
      <c r="P797">
        <f>Supermarket_Sales_Case_Study[[#This Row],[Quantity]]*Supermarket_Sales_Case_Study[[#This Row],[Sales_Amount]]</f>
        <v>4042.7869000544451</v>
      </c>
    </row>
    <row r="798" spans="1:16" x14ac:dyDescent="0.3">
      <c r="A798" t="s">
        <v>828</v>
      </c>
      <c r="B798" t="s">
        <v>21</v>
      </c>
      <c r="C798" t="s">
        <v>36</v>
      </c>
      <c r="D798">
        <v>1581</v>
      </c>
      <c r="E798" t="s">
        <v>16</v>
      </c>
      <c r="F798" t="s">
        <v>17</v>
      </c>
      <c r="G798" t="s">
        <v>37</v>
      </c>
      <c r="H798" s="1">
        <v>45348</v>
      </c>
      <c r="I798">
        <v>212.91007362702501</v>
      </c>
      <c r="J798">
        <v>9</v>
      </c>
      <c r="K798">
        <v>1916.1906626432201</v>
      </c>
      <c r="L798">
        <v>574.85719879296801</v>
      </c>
      <c r="M798" t="s">
        <v>19</v>
      </c>
      <c r="N798">
        <f>Supermarket_Sales_Case_Study[[#This Row],[Sales_Amount]]-Supermarket_Sales_Case_Study[[#This Row],[Profit]]</f>
        <v>1341.333463850252</v>
      </c>
      <c r="O798" s="2">
        <f>(Supermarket_Sales_Case_Study[[#This Row],[Sales_Amount]]-Supermarket_Sales_Case_Study[[#This Row],[Purchase]])/Supermarket_Sales_Case_Study[[#This Row],[Sales_Amount]]</f>
        <v>0.3000000000000011</v>
      </c>
      <c r="P798">
        <f>Supermarket_Sales_Case_Study[[#This Row],[Quantity]]*Supermarket_Sales_Case_Study[[#This Row],[Sales_Amount]]</f>
        <v>17245.715963788982</v>
      </c>
    </row>
    <row r="799" spans="1:16" x14ac:dyDescent="0.3">
      <c r="A799" t="s">
        <v>829</v>
      </c>
      <c r="B799" t="s">
        <v>39</v>
      </c>
      <c r="C799" t="s">
        <v>15</v>
      </c>
      <c r="D799">
        <v>2310</v>
      </c>
      <c r="E799" t="s">
        <v>26</v>
      </c>
      <c r="F799" t="s">
        <v>22</v>
      </c>
      <c r="G799" t="s">
        <v>31</v>
      </c>
      <c r="H799" s="1">
        <v>45303</v>
      </c>
      <c r="I799">
        <v>129.148556633743</v>
      </c>
      <c r="J799">
        <v>8</v>
      </c>
      <c r="K799">
        <v>1033.1884530699499</v>
      </c>
      <c r="L799">
        <v>309.956535920985</v>
      </c>
      <c r="M799" t="s">
        <v>24</v>
      </c>
      <c r="N799">
        <f>Supermarket_Sales_Case_Study[[#This Row],[Sales_Amount]]-Supermarket_Sales_Case_Study[[#This Row],[Profit]]</f>
        <v>723.23191714896484</v>
      </c>
      <c r="O799" s="2">
        <f>(Supermarket_Sales_Case_Study[[#This Row],[Sales_Amount]]-Supermarket_Sales_Case_Study[[#This Row],[Purchase]])/Supermarket_Sales_Case_Study[[#This Row],[Sales_Amount]]</f>
        <v>0.3000000000000001</v>
      </c>
      <c r="P799">
        <f>Supermarket_Sales_Case_Study[[#This Row],[Quantity]]*Supermarket_Sales_Case_Study[[#This Row],[Sales_Amount]]</f>
        <v>8265.5076245595992</v>
      </c>
    </row>
    <row r="800" spans="1:16" x14ac:dyDescent="0.3">
      <c r="A800" t="s">
        <v>830</v>
      </c>
      <c r="B800" t="s">
        <v>14</v>
      </c>
      <c r="C800" t="s">
        <v>30</v>
      </c>
      <c r="D800">
        <v>1993</v>
      </c>
      <c r="E800" t="s">
        <v>26</v>
      </c>
      <c r="F800" t="s">
        <v>17</v>
      </c>
      <c r="G800" t="s">
        <v>18</v>
      </c>
      <c r="H800" s="1">
        <v>45296</v>
      </c>
      <c r="I800">
        <v>172.56814461030399</v>
      </c>
      <c r="J800">
        <v>4</v>
      </c>
      <c r="K800">
        <v>690.27257844121596</v>
      </c>
      <c r="L800">
        <v>207.081773532364</v>
      </c>
      <c r="M800" t="s">
        <v>24</v>
      </c>
      <c r="N800">
        <f>Supermarket_Sales_Case_Study[[#This Row],[Sales_Amount]]-Supermarket_Sales_Case_Study[[#This Row],[Profit]]</f>
        <v>483.19080490885199</v>
      </c>
      <c r="O800" s="2">
        <f>(Supermarket_Sales_Case_Study[[#This Row],[Sales_Amount]]-Supermarket_Sales_Case_Study[[#This Row],[Purchase]])/Supermarket_Sales_Case_Study[[#This Row],[Sales_Amount]]</f>
        <v>0.29999999999999882</v>
      </c>
      <c r="P800">
        <f>Supermarket_Sales_Case_Study[[#This Row],[Quantity]]*Supermarket_Sales_Case_Study[[#This Row],[Sales_Amount]]</f>
        <v>2761.0903137648638</v>
      </c>
    </row>
    <row r="801" spans="1:16" x14ac:dyDescent="0.3">
      <c r="A801" t="s">
        <v>831</v>
      </c>
      <c r="B801" t="s">
        <v>14</v>
      </c>
      <c r="C801" t="s">
        <v>36</v>
      </c>
      <c r="D801">
        <v>1168</v>
      </c>
      <c r="E801" t="s">
        <v>16</v>
      </c>
      <c r="F801" t="s">
        <v>22</v>
      </c>
      <c r="G801" t="s">
        <v>28</v>
      </c>
      <c r="H801" s="1">
        <v>45341</v>
      </c>
      <c r="I801">
        <v>283.37116132032202</v>
      </c>
      <c r="J801">
        <v>5</v>
      </c>
      <c r="K801">
        <v>1416.8558066016101</v>
      </c>
      <c r="L801">
        <v>425.05674198048399</v>
      </c>
      <c r="M801" t="s">
        <v>34</v>
      </c>
      <c r="N801">
        <f>Supermarket_Sales_Case_Study[[#This Row],[Sales_Amount]]-Supermarket_Sales_Case_Study[[#This Row],[Profit]]</f>
        <v>991.79906462112604</v>
      </c>
      <c r="O801" s="2">
        <f>(Supermarket_Sales_Case_Study[[#This Row],[Sales_Amount]]-Supermarket_Sales_Case_Study[[#This Row],[Purchase]])/Supermarket_Sales_Case_Study[[#This Row],[Sales_Amount]]</f>
        <v>0.30000000000000071</v>
      </c>
      <c r="P801">
        <f>Supermarket_Sales_Case_Study[[#This Row],[Quantity]]*Supermarket_Sales_Case_Study[[#This Row],[Sales_Amount]]</f>
        <v>7084.2790330080506</v>
      </c>
    </row>
    <row r="802" spans="1:16" x14ac:dyDescent="0.3">
      <c r="A802" t="s">
        <v>832</v>
      </c>
      <c r="B802" t="s">
        <v>39</v>
      </c>
      <c r="C802" t="s">
        <v>30</v>
      </c>
      <c r="D802">
        <v>2085</v>
      </c>
      <c r="E802" t="s">
        <v>16</v>
      </c>
      <c r="F802" t="s">
        <v>17</v>
      </c>
      <c r="G802" t="s">
        <v>23</v>
      </c>
      <c r="H802" s="1">
        <v>45333</v>
      </c>
      <c r="I802">
        <v>33.992871490864502</v>
      </c>
      <c r="J802">
        <v>5</v>
      </c>
      <c r="K802">
        <v>169.964357454322</v>
      </c>
      <c r="L802">
        <v>50.989307236296703</v>
      </c>
      <c r="M802" t="s">
        <v>19</v>
      </c>
      <c r="N802">
        <f>Supermarket_Sales_Case_Study[[#This Row],[Sales_Amount]]-Supermarket_Sales_Case_Study[[#This Row],[Profit]]</f>
        <v>118.9750502180253</v>
      </c>
      <c r="O802" s="2">
        <f>(Supermarket_Sales_Case_Study[[#This Row],[Sales_Amount]]-Supermarket_Sales_Case_Study[[#This Row],[Purchase]])/Supermarket_Sales_Case_Study[[#This Row],[Sales_Amount]]</f>
        <v>0.30000000000000054</v>
      </c>
      <c r="P802">
        <f>Supermarket_Sales_Case_Study[[#This Row],[Quantity]]*Supermarket_Sales_Case_Study[[#This Row],[Sales_Amount]]</f>
        <v>849.82178727160999</v>
      </c>
    </row>
    <row r="803" spans="1:16" x14ac:dyDescent="0.3">
      <c r="A803" t="s">
        <v>833</v>
      </c>
      <c r="B803" t="s">
        <v>39</v>
      </c>
      <c r="C803" t="s">
        <v>36</v>
      </c>
      <c r="D803">
        <v>2372</v>
      </c>
      <c r="E803" t="s">
        <v>16</v>
      </c>
      <c r="F803" t="s">
        <v>22</v>
      </c>
      <c r="G803" t="s">
        <v>28</v>
      </c>
      <c r="H803" s="1">
        <v>45303</v>
      </c>
      <c r="I803">
        <v>83.641953857871798</v>
      </c>
      <c r="J803">
        <v>6</v>
      </c>
      <c r="K803">
        <v>501.85172314723098</v>
      </c>
      <c r="L803">
        <v>150.555516944169</v>
      </c>
      <c r="M803" t="s">
        <v>24</v>
      </c>
      <c r="N803">
        <f>Supermarket_Sales_Case_Study[[#This Row],[Sales_Amount]]-Supermarket_Sales_Case_Study[[#This Row],[Profit]]</f>
        <v>351.29620620306196</v>
      </c>
      <c r="O803" s="2">
        <f>(Supermarket_Sales_Case_Study[[#This Row],[Sales_Amount]]-Supermarket_Sales_Case_Study[[#This Row],[Purchase]])/Supermarket_Sales_Case_Study[[#This Row],[Sales_Amount]]</f>
        <v>0.29999999999999949</v>
      </c>
      <c r="P803">
        <f>Supermarket_Sales_Case_Study[[#This Row],[Quantity]]*Supermarket_Sales_Case_Study[[#This Row],[Sales_Amount]]</f>
        <v>3011.1103388833858</v>
      </c>
    </row>
    <row r="804" spans="1:16" x14ac:dyDescent="0.3">
      <c r="A804" t="s">
        <v>834</v>
      </c>
      <c r="B804" t="s">
        <v>39</v>
      </c>
      <c r="C804" t="s">
        <v>36</v>
      </c>
      <c r="D804">
        <v>2465</v>
      </c>
      <c r="E804" t="s">
        <v>26</v>
      </c>
      <c r="F804" t="s">
        <v>22</v>
      </c>
      <c r="G804" t="s">
        <v>23</v>
      </c>
      <c r="H804" s="1">
        <v>45309</v>
      </c>
      <c r="I804">
        <v>236.19661480405699</v>
      </c>
      <c r="J804">
        <v>3</v>
      </c>
      <c r="K804">
        <v>708.58984441217297</v>
      </c>
      <c r="L804">
        <v>212.57695332365199</v>
      </c>
      <c r="M804" t="s">
        <v>34</v>
      </c>
      <c r="N804">
        <f>Supermarket_Sales_Case_Study[[#This Row],[Sales_Amount]]-Supermarket_Sales_Case_Study[[#This Row],[Profit]]</f>
        <v>496.01289108852097</v>
      </c>
      <c r="O804" s="2">
        <f>(Supermarket_Sales_Case_Study[[#This Row],[Sales_Amount]]-Supermarket_Sales_Case_Study[[#This Row],[Purchase]])/Supermarket_Sales_Case_Study[[#This Row],[Sales_Amount]]</f>
        <v>0.30000000000000016</v>
      </c>
      <c r="P804">
        <f>Supermarket_Sales_Case_Study[[#This Row],[Quantity]]*Supermarket_Sales_Case_Study[[#This Row],[Sales_Amount]]</f>
        <v>2125.7695332365188</v>
      </c>
    </row>
    <row r="805" spans="1:16" x14ac:dyDescent="0.3">
      <c r="A805" t="s">
        <v>835</v>
      </c>
      <c r="B805" t="s">
        <v>39</v>
      </c>
      <c r="C805" t="s">
        <v>30</v>
      </c>
      <c r="D805">
        <v>1013</v>
      </c>
      <c r="E805" t="s">
        <v>16</v>
      </c>
      <c r="F805" t="s">
        <v>17</v>
      </c>
      <c r="G805" t="s">
        <v>28</v>
      </c>
      <c r="H805" s="1">
        <v>45357</v>
      </c>
      <c r="I805">
        <v>38.633789995972997</v>
      </c>
      <c r="J805">
        <v>5</v>
      </c>
      <c r="K805">
        <v>193.168949979865</v>
      </c>
      <c r="L805">
        <v>57.950684993959598</v>
      </c>
      <c r="M805" t="s">
        <v>24</v>
      </c>
      <c r="N805">
        <f>Supermarket_Sales_Case_Study[[#This Row],[Sales_Amount]]-Supermarket_Sales_Case_Study[[#This Row],[Profit]]</f>
        <v>135.21826498590542</v>
      </c>
      <c r="O805" s="2">
        <f>(Supermarket_Sales_Case_Study[[#This Row],[Sales_Amount]]-Supermarket_Sales_Case_Study[[#This Row],[Purchase]])/Supermarket_Sales_Case_Study[[#This Row],[Sales_Amount]]</f>
        <v>0.30000000000000043</v>
      </c>
      <c r="P805">
        <f>Supermarket_Sales_Case_Study[[#This Row],[Quantity]]*Supermarket_Sales_Case_Study[[#This Row],[Sales_Amount]]</f>
        <v>965.84474989932505</v>
      </c>
    </row>
    <row r="806" spans="1:16" x14ac:dyDescent="0.3">
      <c r="A806" t="s">
        <v>836</v>
      </c>
      <c r="B806" t="s">
        <v>39</v>
      </c>
      <c r="C806" t="s">
        <v>36</v>
      </c>
      <c r="D806">
        <v>1163</v>
      </c>
      <c r="E806" t="s">
        <v>16</v>
      </c>
      <c r="F806" t="s">
        <v>22</v>
      </c>
      <c r="G806" t="s">
        <v>33</v>
      </c>
      <c r="H806" s="1">
        <v>45365</v>
      </c>
      <c r="I806">
        <v>31.941720132192099</v>
      </c>
      <c r="J806">
        <v>2</v>
      </c>
      <c r="K806">
        <v>63.883440264384198</v>
      </c>
      <c r="L806">
        <v>19.1650320793152</v>
      </c>
      <c r="M806" t="s">
        <v>24</v>
      </c>
      <c r="N806">
        <f>Supermarket_Sales_Case_Study[[#This Row],[Sales_Amount]]-Supermarket_Sales_Case_Study[[#This Row],[Profit]]</f>
        <v>44.718408185068995</v>
      </c>
      <c r="O806" s="2">
        <f>(Supermarket_Sales_Case_Study[[#This Row],[Sales_Amount]]-Supermarket_Sales_Case_Study[[#This Row],[Purchase]])/Supermarket_Sales_Case_Study[[#This Row],[Sales_Amount]]</f>
        <v>0.2999999999999991</v>
      </c>
      <c r="P806">
        <f>Supermarket_Sales_Case_Study[[#This Row],[Quantity]]*Supermarket_Sales_Case_Study[[#This Row],[Sales_Amount]]</f>
        <v>127.7668805287684</v>
      </c>
    </row>
    <row r="807" spans="1:16" x14ac:dyDescent="0.3">
      <c r="A807" t="s">
        <v>837</v>
      </c>
      <c r="B807" t="s">
        <v>14</v>
      </c>
      <c r="C807" t="s">
        <v>36</v>
      </c>
      <c r="D807">
        <v>2443</v>
      </c>
      <c r="E807" t="s">
        <v>26</v>
      </c>
      <c r="F807" t="s">
        <v>17</v>
      </c>
      <c r="G807" t="s">
        <v>18</v>
      </c>
      <c r="H807" s="1">
        <v>45370</v>
      </c>
      <c r="I807">
        <v>114.84700563867101</v>
      </c>
      <c r="J807">
        <v>1</v>
      </c>
      <c r="K807">
        <v>114.84700563867101</v>
      </c>
      <c r="L807">
        <v>34.454101691601302</v>
      </c>
      <c r="M807" t="s">
        <v>24</v>
      </c>
      <c r="N807">
        <f>Supermarket_Sales_Case_Study[[#This Row],[Sales_Amount]]-Supermarket_Sales_Case_Study[[#This Row],[Profit]]</f>
        <v>80.392903947069698</v>
      </c>
      <c r="O807" s="2">
        <f>(Supermarket_Sales_Case_Study[[#This Row],[Sales_Amount]]-Supermarket_Sales_Case_Study[[#This Row],[Purchase]])/Supermarket_Sales_Case_Study[[#This Row],[Sales_Amount]]</f>
        <v>0.30000000000000004</v>
      </c>
      <c r="P807">
        <f>Supermarket_Sales_Case_Study[[#This Row],[Quantity]]*Supermarket_Sales_Case_Study[[#This Row],[Sales_Amount]]</f>
        <v>114.84700563867101</v>
      </c>
    </row>
    <row r="808" spans="1:16" x14ac:dyDescent="0.3">
      <c r="A808" t="s">
        <v>838</v>
      </c>
      <c r="B808" t="s">
        <v>14</v>
      </c>
      <c r="C808" t="s">
        <v>15</v>
      </c>
      <c r="D808">
        <v>1756</v>
      </c>
      <c r="E808" t="s">
        <v>16</v>
      </c>
      <c r="F808" t="s">
        <v>17</v>
      </c>
      <c r="G808" t="s">
        <v>23</v>
      </c>
      <c r="H808" s="1">
        <v>45308</v>
      </c>
      <c r="I808">
        <v>36.728707957005298</v>
      </c>
      <c r="J808">
        <v>1</v>
      </c>
      <c r="K808">
        <v>36.728707957005298</v>
      </c>
      <c r="L808">
        <v>11.0186123871016</v>
      </c>
      <c r="M808" t="s">
        <v>34</v>
      </c>
      <c r="N808">
        <f>Supermarket_Sales_Case_Study[[#This Row],[Sales_Amount]]-Supermarket_Sales_Case_Study[[#This Row],[Profit]]</f>
        <v>25.7100955699037</v>
      </c>
      <c r="O808" s="2">
        <f>(Supermarket_Sales_Case_Study[[#This Row],[Sales_Amount]]-Supermarket_Sales_Case_Study[[#This Row],[Purchase]])/Supermarket_Sales_Case_Study[[#This Row],[Sales_Amount]]</f>
        <v>0.30000000000000021</v>
      </c>
      <c r="P808">
        <f>Supermarket_Sales_Case_Study[[#This Row],[Quantity]]*Supermarket_Sales_Case_Study[[#This Row],[Sales_Amount]]</f>
        <v>36.728707957005298</v>
      </c>
    </row>
    <row r="809" spans="1:16" x14ac:dyDescent="0.3">
      <c r="A809" t="s">
        <v>839</v>
      </c>
      <c r="B809" t="s">
        <v>39</v>
      </c>
      <c r="C809" t="s">
        <v>36</v>
      </c>
      <c r="D809">
        <v>2051</v>
      </c>
      <c r="E809" t="s">
        <v>26</v>
      </c>
      <c r="F809" t="s">
        <v>17</v>
      </c>
      <c r="G809" t="s">
        <v>31</v>
      </c>
      <c r="H809" s="1">
        <v>45359</v>
      </c>
      <c r="I809">
        <v>179.67274823979801</v>
      </c>
      <c r="J809">
        <v>7</v>
      </c>
      <c r="K809">
        <v>1257.7092376785899</v>
      </c>
      <c r="L809">
        <v>377.31277130357699</v>
      </c>
      <c r="M809" t="s">
        <v>19</v>
      </c>
      <c r="N809">
        <f>Supermarket_Sales_Case_Study[[#This Row],[Sales_Amount]]-Supermarket_Sales_Case_Study[[#This Row],[Profit]]</f>
        <v>880.39646637501301</v>
      </c>
      <c r="O809" s="2">
        <f>(Supermarket_Sales_Case_Study[[#This Row],[Sales_Amount]]-Supermarket_Sales_Case_Study[[#This Row],[Purchase]])/Supermarket_Sales_Case_Study[[#This Row],[Sales_Amount]]</f>
        <v>0.3</v>
      </c>
      <c r="P809">
        <f>Supermarket_Sales_Case_Study[[#This Row],[Quantity]]*Supermarket_Sales_Case_Study[[#This Row],[Sales_Amount]]</f>
        <v>8803.9646637501301</v>
      </c>
    </row>
    <row r="810" spans="1:16" x14ac:dyDescent="0.3">
      <c r="A810" t="s">
        <v>840</v>
      </c>
      <c r="B810" t="s">
        <v>21</v>
      </c>
      <c r="C810" t="s">
        <v>36</v>
      </c>
      <c r="D810">
        <v>1445</v>
      </c>
      <c r="E810" t="s">
        <v>26</v>
      </c>
      <c r="F810" t="s">
        <v>17</v>
      </c>
      <c r="G810" t="s">
        <v>18</v>
      </c>
      <c r="H810" s="1">
        <v>45362</v>
      </c>
      <c r="I810">
        <v>75.619822736813902</v>
      </c>
      <c r="J810">
        <v>2</v>
      </c>
      <c r="K810">
        <v>151.23964547362701</v>
      </c>
      <c r="L810">
        <v>45.371893642088303</v>
      </c>
      <c r="M810" t="s">
        <v>34</v>
      </c>
      <c r="N810">
        <f>Supermarket_Sales_Case_Study[[#This Row],[Sales_Amount]]-Supermarket_Sales_Case_Study[[#This Row],[Profit]]</f>
        <v>105.8677518315387</v>
      </c>
      <c r="O810" s="2">
        <f>(Supermarket_Sales_Case_Study[[#This Row],[Sales_Amount]]-Supermarket_Sales_Case_Study[[#This Row],[Purchase]])/Supermarket_Sales_Case_Study[[#This Row],[Sales_Amount]]</f>
        <v>0.30000000000000138</v>
      </c>
      <c r="P810">
        <f>Supermarket_Sales_Case_Study[[#This Row],[Quantity]]*Supermarket_Sales_Case_Study[[#This Row],[Sales_Amount]]</f>
        <v>302.47929094725401</v>
      </c>
    </row>
    <row r="811" spans="1:16" x14ac:dyDescent="0.3">
      <c r="A811" t="s">
        <v>841</v>
      </c>
      <c r="B811" t="s">
        <v>39</v>
      </c>
      <c r="C811" t="s">
        <v>36</v>
      </c>
      <c r="D811">
        <v>2231</v>
      </c>
      <c r="E811" t="s">
        <v>26</v>
      </c>
      <c r="F811" t="s">
        <v>17</v>
      </c>
      <c r="G811" t="s">
        <v>31</v>
      </c>
      <c r="H811" s="1">
        <v>45353</v>
      </c>
      <c r="I811">
        <v>269.75240932781799</v>
      </c>
      <c r="J811">
        <v>4</v>
      </c>
      <c r="K811">
        <v>1079.0096373112699</v>
      </c>
      <c r="L811">
        <v>323.70289119338099</v>
      </c>
      <c r="M811" t="s">
        <v>19</v>
      </c>
      <c r="N811">
        <f>Supermarket_Sales_Case_Study[[#This Row],[Sales_Amount]]-Supermarket_Sales_Case_Study[[#This Row],[Profit]]</f>
        <v>755.30674611788891</v>
      </c>
      <c r="O811" s="2">
        <f>(Supermarket_Sales_Case_Study[[#This Row],[Sales_Amount]]-Supermarket_Sales_Case_Study[[#This Row],[Purchase]])/Supermarket_Sales_Case_Study[[#This Row],[Sales_Amount]]</f>
        <v>0.30000000000000004</v>
      </c>
      <c r="P811">
        <f>Supermarket_Sales_Case_Study[[#This Row],[Quantity]]*Supermarket_Sales_Case_Study[[#This Row],[Sales_Amount]]</f>
        <v>4316.0385492450796</v>
      </c>
    </row>
    <row r="812" spans="1:16" x14ac:dyDescent="0.3">
      <c r="A812" t="s">
        <v>842</v>
      </c>
      <c r="B812" t="s">
        <v>21</v>
      </c>
      <c r="C812" t="s">
        <v>15</v>
      </c>
      <c r="D812">
        <v>2493</v>
      </c>
      <c r="E812" t="s">
        <v>16</v>
      </c>
      <c r="F812" t="s">
        <v>22</v>
      </c>
      <c r="G812" t="s">
        <v>18</v>
      </c>
      <c r="H812" s="1">
        <v>45332</v>
      </c>
      <c r="I812">
        <v>237.21502344512399</v>
      </c>
      <c r="J812">
        <v>5</v>
      </c>
      <c r="K812">
        <v>1186.07511722562</v>
      </c>
      <c r="L812">
        <v>355.822535167686</v>
      </c>
      <c r="M812" t="s">
        <v>24</v>
      </c>
      <c r="N812">
        <f>Supermarket_Sales_Case_Study[[#This Row],[Sales_Amount]]-Supermarket_Sales_Case_Study[[#This Row],[Profit]]</f>
        <v>830.25258205793398</v>
      </c>
      <c r="O812" s="2">
        <f>(Supermarket_Sales_Case_Study[[#This Row],[Sales_Amount]]-Supermarket_Sales_Case_Study[[#This Row],[Purchase]])/Supermarket_Sales_Case_Study[[#This Row],[Sales_Amount]]</f>
        <v>0.30000000000000004</v>
      </c>
      <c r="P812">
        <f>Supermarket_Sales_Case_Study[[#This Row],[Quantity]]*Supermarket_Sales_Case_Study[[#This Row],[Sales_Amount]]</f>
        <v>5930.3755861281006</v>
      </c>
    </row>
    <row r="813" spans="1:16" x14ac:dyDescent="0.3">
      <c r="A813" t="s">
        <v>843</v>
      </c>
      <c r="B813" t="s">
        <v>39</v>
      </c>
      <c r="C813" t="s">
        <v>30</v>
      </c>
      <c r="D813">
        <v>1715</v>
      </c>
      <c r="E813" t="s">
        <v>16</v>
      </c>
      <c r="F813" t="s">
        <v>22</v>
      </c>
      <c r="G813" t="s">
        <v>18</v>
      </c>
      <c r="H813" s="1">
        <v>45325</v>
      </c>
      <c r="I813">
        <v>212.91450976884801</v>
      </c>
      <c r="J813">
        <v>7</v>
      </c>
      <c r="K813">
        <v>1490.40156838193</v>
      </c>
      <c r="L813">
        <v>447.12047051458097</v>
      </c>
      <c r="M813" t="s">
        <v>19</v>
      </c>
      <c r="N813">
        <f>Supermarket_Sales_Case_Study[[#This Row],[Sales_Amount]]-Supermarket_Sales_Case_Study[[#This Row],[Profit]]</f>
        <v>1043.281097867349</v>
      </c>
      <c r="O813" s="2">
        <f>(Supermarket_Sales_Case_Study[[#This Row],[Sales_Amount]]-Supermarket_Sales_Case_Study[[#This Row],[Purchase]])/Supermarket_Sales_Case_Study[[#This Row],[Sales_Amount]]</f>
        <v>0.30000000000000138</v>
      </c>
      <c r="P813">
        <f>Supermarket_Sales_Case_Study[[#This Row],[Quantity]]*Supermarket_Sales_Case_Study[[#This Row],[Sales_Amount]]</f>
        <v>10432.810978673509</v>
      </c>
    </row>
    <row r="814" spans="1:16" x14ac:dyDescent="0.3">
      <c r="A814" t="s">
        <v>844</v>
      </c>
      <c r="B814" t="s">
        <v>39</v>
      </c>
      <c r="C814" t="s">
        <v>15</v>
      </c>
      <c r="D814">
        <v>1975</v>
      </c>
      <c r="E814" t="s">
        <v>26</v>
      </c>
      <c r="F814" t="s">
        <v>17</v>
      </c>
      <c r="G814" t="s">
        <v>28</v>
      </c>
      <c r="H814" s="1">
        <v>45361</v>
      </c>
      <c r="I814">
        <v>188.913767941505</v>
      </c>
      <c r="J814">
        <v>2</v>
      </c>
      <c r="K814">
        <v>377.82753588301102</v>
      </c>
      <c r="L814">
        <v>113.348260764903</v>
      </c>
      <c r="M814" t="s">
        <v>24</v>
      </c>
      <c r="N814">
        <f>Supermarket_Sales_Case_Study[[#This Row],[Sales_Amount]]-Supermarket_Sales_Case_Study[[#This Row],[Profit]]</f>
        <v>264.47927511810803</v>
      </c>
      <c r="O814" s="2">
        <f>(Supermarket_Sales_Case_Study[[#This Row],[Sales_Amount]]-Supermarket_Sales_Case_Study[[#This Row],[Purchase]])/Supermarket_Sales_Case_Study[[#This Row],[Sales_Amount]]</f>
        <v>0.29999999999999916</v>
      </c>
      <c r="P814">
        <f>Supermarket_Sales_Case_Study[[#This Row],[Quantity]]*Supermarket_Sales_Case_Study[[#This Row],[Sales_Amount]]</f>
        <v>755.65507176602205</v>
      </c>
    </row>
    <row r="815" spans="1:16" x14ac:dyDescent="0.3">
      <c r="A815" t="s">
        <v>845</v>
      </c>
      <c r="B815" t="s">
        <v>14</v>
      </c>
      <c r="C815" t="s">
        <v>15</v>
      </c>
      <c r="D815">
        <v>1818</v>
      </c>
      <c r="E815" t="s">
        <v>16</v>
      </c>
      <c r="F815" t="s">
        <v>22</v>
      </c>
      <c r="G815" t="s">
        <v>23</v>
      </c>
      <c r="H815" s="1">
        <v>45336</v>
      </c>
      <c r="I815">
        <v>260.405061799024</v>
      </c>
      <c r="J815">
        <v>6</v>
      </c>
      <c r="K815">
        <v>1562.4303707941399</v>
      </c>
      <c r="L815">
        <v>468.72911123824298</v>
      </c>
      <c r="M815" t="s">
        <v>24</v>
      </c>
      <c r="N815">
        <f>Supermarket_Sales_Case_Study[[#This Row],[Sales_Amount]]-Supermarket_Sales_Case_Study[[#This Row],[Profit]]</f>
        <v>1093.701259555897</v>
      </c>
      <c r="O815" s="2">
        <f>(Supermarket_Sales_Case_Study[[#This Row],[Sales_Amount]]-Supermarket_Sales_Case_Study[[#This Row],[Purchase]])/Supermarket_Sales_Case_Study[[#This Row],[Sales_Amount]]</f>
        <v>0.3000000000000006</v>
      </c>
      <c r="P815">
        <f>Supermarket_Sales_Case_Study[[#This Row],[Quantity]]*Supermarket_Sales_Case_Study[[#This Row],[Sales_Amount]]</f>
        <v>9374.5822247648393</v>
      </c>
    </row>
    <row r="816" spans="1:16" x14ac:dyDescent="0.3">
      <c r="A816" t="s">
        <v>846</v>
      </c>
      <c r="B816" t="s">
        <v>21</v>
      </c>
      <c r="C816" t="s">
        <v>30</v>
      </c>
      <c r="D816">
        <v>1103</v>
      </c>
      <c r="E816" t="s">
        <v>16</v>
      </c>
      <c r="F816" t="s">
        <v>17</v>
      </c>
      <c r="G816" t="s">
        <v>23</v>
      </c>
      <c r="H816" s="1">
        <v>45349</v>
      </c>
      <c r="I816">
        <v>74.687997847399402</v>
      </c>
      <c r="J816">
        <v>1</v>
      </c>
      <c r="K816">
        <v>74.687997847399402</v>
      </c>
      <c r="L816">
        <v>22.406399354219801</v>
      </c>
      <c r="M816" t="s">
        <v>34</v>
      </c>
      <c r="N816">
        <f>Supermarket_Sales_Case_Study[[#This Row],[Sales_Amount]]-Supermarket_Sales_Case_Study[[#This Row],[Profit]]</f>
        <v>52.281598493179601</v>
      </c>
      <c r="O816" s="2">
        <f>(Supermarket_Sales_Case_Study[[#This Row],[Sales_Amount]]-Supermarket_Sales_Case_Study[[#This Row],[Purchase]])/Supermarket_Sales_Case_Study[[#This Row],[Sales_Amount]]</f>
        <v>0.29999999999999971</v>
      </c>
      <c r="P816">
        <f>Supermarket_Sales_Case_Study[[#This Row],[Quantity]]*Supermarket_Sales_Case_Study[[#This Row],[Sales_Amount]]</f>
        <v>74.687997847399402</v>
      </c>
    </row>
    <row r="817" spans="1:16" x14ac:dyDescent="0.3">
      <c r="A817" t="s">
        <v>847</v>
      </c>
      <c r="B817" t="s">
        <v>21</v>
      </c>
      <c r="C817" t="s">
        <v>15</v>
      </c>
      <c r="D817">
        <v>1741</v>
      </c>
      <c r="E817" t="s">
        <v>16</v>
      </c>
      <c r="F817" t="s">
        <v>22</v>
      </c>
      <c r="G817" t="s">
        <v>18</v>
      </c>
      <c r="H817" s="1">
        <v>45342</v>
      </c>
      <c r="I817">
        <v>263.201564401626</v>
      </c>
      <c r="J817">
        <v>7</v>
      </c>
      <c r="K817">
        <v>1842.41095081138</v>
      </c>
      <c r="L817">
        <v>552.72328524341401</v>
      </c>
      <c r="M817" t="s">
        <v>24</v>
      </c>
      <c r="N817">
        <f>Supermarket_Sales_Case_Study[[#This Row],[Sales_Amount]]-Supermarket_Sales_Case_Study[[#This Row],[Profit]]</f>
        <v>1289.687665567966</v>
      </c>
      <c r="O817" s="2">
        <f>(Supermarket_Sales_Case_Study[[#This Row],[Sales_Amount]]-Supermarket_Sales_Case_Study[[#This Row],[Purchase]])/Supermarket_Sales_Case_Study[[#This Row],[Sales_Amount]]</f>
        <v>0.3</v>
      </c>
      <c r="P817">
        <f>Supermarket_Sales_Case_Study[[#This Row],[Quantity]]*Supermarket_Sales_Case_Study[[#This Row],[Sales_Amount]]</f>
        <v>12896.87665567966</v>
      </c>
    </row>
    <row r="818" spans="1:16" x14ac:dyDescent="0.3">
      <c r="A818" t="s">
        <v>848</v>
      </c>
      <c r="B818" t="s">
        <v>14</v>
      </c>
      <c r="C818" t="s">
        <v>30</v>
      </c>
      <c r="D818">
        <v>1425</v>
      </c>
      <c r="E818" t="s">
        <v>16</v>
      </c>
      <c r="F818" t="s">
        <v>22</v>
      </c>
      <c r="G818" t="s">
        <v>33</v>
      </c>
      <c r="H818" s="1">
        <v>45325</v>
      </c>
      <c r="I818">
        <v>238.95276654297501</v>
      </c>
      <c r="J818">
        <v>9</v>
      </c>
      <c r="K818">
        <v>2150.5748988867699</v>
      </c>
      <c r="L818">
        <v>645.17246966603295</v>
      </c>
      <c r="M818" t="s">
        <v>34</v>
      </c>
      <c r="N818">
        <f>Supermarket_Sales_Case_Study[[#This Row],[Sales_Amount]]-Supermarket_Sales_Case_Study[[#This Row],[Profit]]</f>
        <v>1505.4024292207368</v>
      </c>
      <c r="O818" s="2">
        <f>(Supermarket_Sales_Case_Study[[#This Row],[Sales_Amount]]-Supermarket_Sales_Case_Study[[#This Row],[Purchase]])/Supermarket_Sales_Case_Study[[#This Row],[Sales_Amount]]</f>
        <v>0.30000000000000099</v>
      </c>
      <c r="P818">
        <f>Supermarket_Sales_Case_Study[[#This Row],[Quantity]]*Supermarket_Sales_Case_Study[[#This Row],[Sales_Amount]]</f>
        <v>19355.17408998093</v>
      </c>
    </row>
    <row r="819" spans="1:16" x14ac:dyDescent="0.3">
      <c r="A819" t="s">
        <v>849</v>
      </c>
      <c r="B819" t="s">
        <v>14</v>
      </c>
      <c r="C819" t="s">
        <v>15</v>
      </c>
      <c r="D819">
        <v>2124</v>
      </c>
      <c r="E819" t="s">
        <v>26</v>
      </c>
      <c r="F819" t="s">
        <v>22</v>
      </c>
      <c r="G819" t="s">
        <v>33</v>
      </c>
      <c r="H819" s="1">
        <v>45335</v>
      </c>
      <c r="I819">
        <v>226.966639652428</v>
      </c>
      <c r="J819">
        <v>5</v>
      </c>
      <c r="K819">
        <v>1134.8331982621401</v>
      </c>
      <c r="L819">
        <v>340.449959478643</v>
      </c>
      <c r="M819" t="s">
        <v>19</v>
      </c>
      <c r="N819">
        <f>Supermarket_Sales_Case_Study[[#This Row],[Sales_Amount]]-Supermarket_Sales_Case_Study[[#This Row],[Profit]]</f>
        <v>794.38323878349706</v>
      </c>
      <c r="O819" s="2">
        <f>(Supermarket_Sales_Case_Study[[#This Row],[Sales_Amount]]-Supermarket_Sales_Case_Study[[#This Row],[Purchase]])/Supermarket_Sales_Case_Study[[#This Row],[Sales_Amount]]</f>
        <v>0.30000000000000088</v>
      </c>
      <c r="P819">
        <f>Supermarket_Sales_Case_Study[[#This Row],[Quantity]]*Supermarket_Sales_Case_Study[[#This Row],[Sales_Amount]]</f>
        <v>5674.1659913107005</v>
      </c>
    </row>
    <row r="820" spans="1:16" x14ac:dyDescent="0.3">
      <c r="A820" t="s">
        <v>850</v>
      </c>
      <c r="B820" t="s">
        <v>14</v>
      </c>
      <c r="C820" t="s">
        <v>30</v>
      </c>
      <c r="D820">
        <v>1638</v>
      </c>
      <c r="E820" t="s">
        <v>16</v>
      </c>
      <c r="F820" t="s">
        <v>22</v>
      </c>
      <c r="G820" t="s">
        <v>31</v>
      </c>
      <c r="H820" s="1">
        <v>45306</v>
      </c>
      <c r="I820">
        <v>172.764146641727</v>
      </c>
      <c r="J820">
        <v>5</v>
      </c>
      <c r="K820">
        <v>863.82073320863901</v>
      </c>
      <c r="L820">
        <v>259.14621996259098</v>
      </c>
      <c r="M820" t="s">
        <v>19</v>
      </c>
      <c r="N820">
        <f>Supermarket_Sales_Case_Study[[#This Row],[Sales_Amount]]-Supermarket_Sales_Case_Study[[#This Row],[Profit]]</f>
        <v>604.67451324604804</v>
      </c>
      <c r="O820" s="2">
        <f>(Supermarket_Sales_Case_Study[[#This Row],[Sales_Amount]]-Supermarket_Sales_Case_Study[[#This Row],[Purchase]])/Supermarket_Sales_Case_Study[[#This Row],[Sales_Amount]]</f>
        <v>0.29999999999999916</v>
      </c>
      <c r="P820">
        <f>Supermarket_Sales_Case_Study[[#This Row],[Quantity]]*Supermarket_Sales_Case_Study[[#This Row],[Sales_Amount]]</f>
        <v>4319.1036660431946</v>
      </c>
    </row>
    <row r="821" spans="1:16" x14ac:dyDescent="0.3">
      <c r="A821" t="s">
        <v>851</v>
      </c>
      <c r="B821" t="s">
        <v>14</v>
      </c>
      <c r="C821" t="s">
        <v>36</v>
      </c>
      <c r="D821">
        <v>1849</v>
      </c>
      <c r="E821" t="s">
        <v>26</v>
      </c>
      <c r="F821" t="s">
        <v>17</v>
      </c>
      <c r="G821" t="s">
        <v>31</v>
      </c>
      <c r="H821" s="1">
        <v>45369</v>
      </c>
      <c r="I821">
        <v>81.410806681474</v>
      </c>
      <c r="J821">
        <v>4</v>
      </c>
      <c r="K821">
        <v>325.643226725896</v>
      </c>
      <c r="L821">
        <v>97.692968017768806</v>
      </c>
      <c r="M821" t="s">
        <v>24</v>
      </c>
      <c r="N821">
        <f>Supermarket_Sales_Case_Study[[#This Row],[Sales_Amount]]-Supermarket_Sales_Case_Study[[#This Row],[Profit]]</f>
        <v>227.95025870812719</v>
      </c>
      <c r="O821" s="2">
        <f>(Supermarket_Sales_Case_Study[[#This Row],[Sales_Amount]]-Supermarket_Sales_Case_Study[[#This Row],[Purchase]])/Supermarket_Sales_Case_Study[[#This Row],[Sales_Amount]]</f>
        <v>0.30000000000000004</v>
      </c>
      <c r="P821">
        <f>Supermarket_Sales_Case_Study[[#This Row],[Quantity]]*Supermarket_Sales_Case_Study[[#This Row],[Sales_Amount]]</f>
        <v>1302.572906903584</v>
      </c>
    </row>
    <row r="822" spans="1:16" x14ac:dyDescent="0.3">
      <c r="A822" t="s">
        <v>852</v>
      </c>
      <c r="B822" t="s">
        <v>21</v>
      </c>
      <c r="C822" t="s">
        <v>15</v>
      </c>
      <c r="D822">
        <v>2129</v>
      </c>
      <c r="E822" t="s">
        <v>26</v>
      </c>
      <c r="F822" t="s">
        <v>17</v>
      </c>
      <c r="G822" t="s">
        <v>28</v>
      </c>
      <c r="H822" s="1">
        <v>45361</v>
      </c>
      <c r="I822">
        <v>132.828895637649</v>
      </c>
      <c r="J822">
        <v>3</v>
      </c>
      <c r="K822">
        <v>398.48668691294898</v>
      </c>
      <c r="L822">
        <v>119.546006073884</v>
      </c>
      <c r="M822" t="s">
        <v>34</v>
      </c>
      <c r="N822">
        <f>Supermarket_Sales_Case_Study[[#This Row],[Sales_Amount]]-Supermarket_Sales_Case_Study[[#This Row],[Profit]]</f>
        <v>278.94068083906495</v>
      </c>
      <c r="O822" s="2">
        <f>(Supermarket_Sales_Case_Study[[#This Row],[Sales_Amount]]-Supermarket_Sales_Case_Study[[#This Row],[Purchase]])/Supermarket_Sales_Case_Study[[#This Row],[Sales_Amount]]</f>
        <v>0.29999999999999832</v>
      </c>
      <c r="P822">
        <f>Supermarket_Sales_Case_Study[[#This Row],[Quantity]]*Supermarket_Sales_Case_Study[[#This Row],[Sales_Amount]]</f>
        <v>1195.460060738847</v>
      </c>
    </row>
    <row r="823" spans="1:16" x14ac:dyDescent="0.3">
      <c r="A823" t="s">
        <v>853</v>
      </c>
      <c r="B823" t="s">
        <v>21</v>
      </c>
      <c r="C823" t="s">
        <v>15</v>
      </c>
      <c r="D823">
        <v>1768</v>
      </c>
      <c r="E823" t="s">
        <v>16</v>
      </c>
      <c r="F823" t="s">
        <v>22</v>
      </c>
      <c r="G823" t="s">
        <v>18</v>
      </c>
      <c r="H823" s="1">
        <v>45341</v>
      </c>
      <c r="I823">
        <v>240.135489816252</v>
      </c>
      <c r="J823">
        <v>9</v>
      </c>
      <c r="K823">
        <v>2161.21940834627</v>
      </c>
      <c r="L823">
        <v>648.36582250388096</v>
      </c>
      <c r="M823" t="s">
        <v>24</v>
      </c>
      <c r="N823">
        <f>Supermarket_Sales_Case_Study[[#This Row],[Sales_Amount]]-Supermarket_Sales_Case_Study[[#This Row],[Profit]]</f>
        <v>1512.8535858423891</v>
      </c>
      <c r="O823" s="2">
        <f>(Supermarket_Sales_Case_Study[[#This Row],[Sales_Amount]]-Supermarket_Sales_Case_Study[[#This Row],[Purchase]])/Supermarket_Sales_Case_Study[[#This Row],[Sales_Amount]]</f>
        <v>0.3</v>
      </c>
      <c r="P823">
        <f>Supermarket_Sales_Case_Study[[#This Row],[Quantity]]*Supermarket_Sales_Case_Study[[#This Row],[Sales_Amount]]</f>
        <v>19450.974675116431</v>
      </c>
    </row>
    <row r="824" spans="1:16" x14ac:dyDescent="0.3">
      <c r="A824" t="s">
        <v>854</v>
      </c>
      <c r="B824" t="s">
        <v>39</v>
      </c>
      <c r="C824" t="s">
        <v>15</v>
      </c>
      <c r="D824">
        <v>1276</v>
      </c>
      <c r="E824" t="s">
        <v>26</v>
      </c>
      <c r="F824" t="s">
        <v>22</v>
      </c>
      <c r="G824" t="s">
        <v>31</v>
      </c>
      <c r="H824" s="1">
        <v>45323</v>
      </c>
      <c r="I824">
        <v>19.215760463624001</v>
      </c>
      <c r="J824">
        <v>5</v>
      </c>
      <c r="K824">
        <v>96.078802318120395</v>
      </c>
      <c r="L824">
        <v>28.823640695436101</v>
      </c>
      <c r="M824" t="s">
        <v>34</v>
      </c>
      <c r="N824">
        <f>Supermarket_Sales_Case_Study[[#This Row],[Sales_Amount]]-Supermarket_Sales_Case_Study[[#This Row],[Profit]]</f>
        <v>67.255161622684298</v>
      </c>
      <c r="O824" s="2">
        <f>(Supermarket_Sales_Case_Study[[#This Row],[Sales_Amount]]-Supermarket_Sales_Case_Study[[#This Row],[Purchase]])/Supermarket_Sales_Case_Study[[#This Row],[Sales_Amount]]</f>
        <v>0.29999999999999977</v>
      </c>
      <c r="P824">
        <f>Supermarket_Sales_Case_Study[[#This Row],[Quantity]]*Supermarket_Sales_Case_Study[[#This Row],[Sales_Amount]]</f>
        <v>480.39401159060196</v>
      </c>
    </row>
    <row r="825" spans="1:16" x14ac:dyDescent="0.3">
      <c r="A825" t="s">
        <v>855</v>
      </c>
      <c r="B825" t="s">
        <v>39</v>
      </c>
      <c r="C825" t="s">
        <v>15</v>
      </c>
      <c r="D825">
        <v>2088</v>
      </c>
      <c r="E825" t="s">
        <v>16</v>
      </c>
      <c r="F825" t="s">
        <v>17</v>
      </c>
      <c r="G825" t="s">
        <v>31</v>
      </c>
      <c r="H825" s="1">
        <v>45358</v>
      </c>
      <c r="I825">
        <v>236.794723086489</v>
      </c>
      <c r="J825">
        <v>8</v>
      </c>
      <c r="K825">
        <v>1894.35778469191</v>
      </c>
      <c r="L825">
        <v>568.30733540757501</v>
      </c>
      <c r="M825" t="s">
        <v>34</v>
      </c>
      <c r="N825">
        <f>Supermarket_Sales_Case_Study[[#This Row],[Sales_Amount]]-Supermarket_Sales_Case_Study[[#This Row],[Profit]]</f>
        <v>1326.0504492843349</v>
      </c>
      <c r="O825" s="2">
        <f>(Supermarket_Sales_Case_Study[[#This Row],[Sales_Amount]]-Supermarket_Sales_Case_Study[[#This Row],[Purchase]])/Supermarket_Sales_Case_Study[[#This Row],[Sales_Amount]]</f>
        <v>0.30000000000000104</v>
      </c>
      <c r="P825">
        <f>Supermarket_Sales_Case_Study[[#This Row],[Quantity]]*Supermarket_Sales_Case_Study[[#This Row],[Sales_Amount]]</f>
        <v>15154.86227753528</v>
      </c>
    </row>
    <row r="826" spans="1:16" x14ac:dyDescent="0.3">
      <c r="A826" t="s">
        <v>856</v>
      </c>
      <c r="B826" t="s">
        <v>14</v>
      </c>
      <c r="C826" t="s">
        <v>36</v>
      </c>
      <c r="D826">
        <v>1899</v>
      </c>
      <c r="E826" t="s">
        <v>16</v>
      </c>
      <c r="F826" t="s">
        <v>22</v>
      </c>
      <c r="G826" t="s">
        <v>37</v>
      </c>
      <c r="H826" s="1">
        <v>45294</v>
      </c>
      <c r="I826">
        <v>79.620514741394203</v>
      </c>
      <c r="J826">
        <v>9</v>
      </c>
      <c r="K826">
        <v>716.58463267254797</v>
      </c>
      <c r="L826">
        <v>214.97538980176401</v>
      </c>
      <c r="M826" t="s">
        <v>34</v>
      </c>
      <c r="N826">
        <f>Supermarket_Sales_Case_Study[[#This Row],[Sales_Amount]]-Supermarket_Sales_Case_Study[[#This Row],[Profit]]</f>
        <v>501.60924287078399</v>
      </c>
      <c r="O826" s="2">
        <f>(Supermarket_Sales_Case_Study[[#This Row],[Sales_Amount]]-Supermarket_Sales_Case_Study[[#This Row],[Purchase]])/Supermarket_Sales_Case_Study[[#This Row],[Sales_Amount]]</f>
        <v>0.29999999999999943</v>
      </c>
      <c r="P826">
        <f>Supermarket_Sales_Case_Study[[#This Row],[Quantity]]*Supermarket_Sales_Case_Study[[#This Row],[Sales_Amount]]</f>
        <v>6449.2616940529315</v>
      </c>
    </row>
    <row r="827" spans="1:16" x14ac:dyDescent="0.3">
      <c r="A827" t="s">
        <v>857</v>
      </c>
      <c r="B827" t="s">
        <v>14</v>
      </c>
      <c r="C827" t="s">
        <v>15</v>
      </c>
      <c r="D827">
        <v>1187</v>
      </c>
      <c r="E827" t="s">
        <v>26</v>
      </c>
      <c r="F827" t="s">
        <v>17</v>
      </c>
      <c r="G827" t="s">
        <v>18</v>
      </c>
      <c r="H827" s="1">
        <v>45377</v>
      </c>
      <c r="I827">
        <v>51.849668209264799</v>
      </c>
      <c r="J827">
        <v>5</v>
      </c>
      <c r="K827">
        <v>259.24834104632401</v>
      </c>
      <c r="L827">
        <v>77.774502313897301</v>
      </c>
      <c r="M827" t="s">
        <v>19</v>
      </c>
      <c r="N827">
        <f>Supermarket_Sales_Case_Study[[#This Row],[Sales_Amount]]-Supermarket_Sales_Case_Study[[#This Row],[Profit]]</f>
        <v>181.47383873242671</v>
      </c>
      <c r="O827" s="2">
        <f>(Supermarket_Sales_Case_Study[[#This Row],[Sales_Amount]]-Supermarket_Sales_Case_Study[[#This Row],[Purchase]])/Supermarket_Sales_Case_Study[[#This Row],[Sales_Amount]]</f>
        <v>0.30000000000000038</v>
      </c>
      <c r="P827">
        <f>Supermarket_Sales_Case_Study[[#This Row],[Quantity]]*Supermarket_Sales_Case_Study[[#This Row],[Sales_Amount]]</f>
        <v>1296.24170523162</v>
      </c>
    </row>
    <row r="828" spans="1:16" x14ac:dyDescent="0.3">
      <c r="A828" t="s">
        <v>858</v>
      </c>
      <c r="B828" t="s">
        <v>14</v>
      </c>
      <c r="C828" t="s">
        <v>36</v>
      </c>
      <c r="D828">
        <v>2340</v>
      </c>
      <c r="E828" t="s">
        <v>26</v>
      </c>
      <c r="F828" t="s">
        <v>17</v>
      </c>
      <c r="G828" t="s">
        <v>28</v>
      </c>
      <c r="H828" s="1">
        <v>45377</v>
      </c>
      <c r="I828">
        <v>43.5533822722876</v>
      </c>
      <c r="J828">
        <v>9</v>
      </c>
      <c r="K828">
        <v>391.98044045058799</v>
      </c>
      <c r="L828">
        <v>117.594132135176</v>
      </c>
      <c r="M828" t="s">
        <v>34</v>
      </c>
      <c r="N828">
        <f>Supermarket_Sales_Case_Study[[#This Row],[Sales_Amount]]-Supermarket_Sales_Case_Study[[#This Row],[Profit]]</f>
        <v>274.38630831541201</v>
      </c>
      <c r="O828" s="2">
        <f>(Supermarket_Sales_Case_Study[[#This Row],[Sales_Amount]]-Supermarket_Sales_Case_Study[[#This Row],[Purchase]])/Supermarket_Sales_Case_Study[[#This Row],[Sales_Amount]]</f>
        <v>0.29999999999999893</v>
      </c>
      <c r="P828">
        <f>Supermarket_Sales_Case_Study[[#This Row],[Quantity]]*Supermarket_Sales_Case_Study[[#This Row],[Sales_Amount]]</f>
        <v>3527.823964055292</v>
      </c>
    </row>
    <row r="829" spans="1:16" x14ac:dyDescent="0.3">
      <c r="A829" t="s">
        <v>859</v>
      </c>
      <c r="B829" t="s">
        <v>39</v>
      </c>
      <c r="C829" t="s">
        <v>36</v>
      </c>
      <c r="D829">
        <v>2161</v>
      </c>
      <c r="E829" t="s">
        <v>26</v>
      </c>
      <c r="F829" t="s">
        <v>17</v>
      </c>
      <c r="G829" t="s">
        <v>31</v>
      </c>
      <c r="H829" s="1">
        <v>45365</v>
      </c>
      <c r="I829">
        <v>17.902503465736299</v>
      </c>
      <c r="J829">
        <v>2</v>
      </c>
      <c r="K829">
        <v>35.805006931472697</v>
      </c>
      <c r="L829">
        <v>10.741502079441799</v>
      </c>
      <c r="M829" t="s">
        <v>19</v>
      </c>
      <c r="N829">
        <f>Supermarket_Sales_Case_Study[[#This Row],[Sales_Amount]]-Supermarket_Sales_Case_Study[[#This Row],[Profit]]</f>
        <v>25.063504852030896</v>
      </c>
      <c r="O829" s="2">
        <f>(Supermarket_Sales_Case_Study[[#This Row],[Sales_Amount]]-Supermarket_Sales_Case_Study[[#This Row],[Purchase]])/Supermarket_Sales_Case_Study[[#This Row],[Sales_Amount]]</f>
        <v>0.29999999999999977</v>
      </c>
      <c r="P829">
        <f>Supermarket_Sales_Case_Study[[#This Row],[Quantity]]*Supermarket_Sales_Case_Study[[#This Row],[Sales_Amount]]</f>
        <v>71.610013862945394</v>
      </c>
    </row>
    <row r="830" spans="1:16" x14ac:dyDescent="0.3">
      <c r="A830" t="s">
        <v>860</v>
      </c>
      <c r="B830" t="s">
        <v>39</v>
      </c>
      <c r="C830" t="s">
        <v>36</v>
      </c>
      <c r="D830">
        <v>2366</v>
      </c>
      <c r="E830" t="s">
        <v>26</v>
      </c>
      <c r="F830" t="s">
        <v>22</v>
      </c>
      <c r="G830" t="s">
        <v>28</v>
      </c>
      <c r="H830" s="1">
        <v>45342</v>
      </c>
      <c r="I830">
        <v>161.84008071422099</v>
      </c>
      <c r="J830">
        <v>9</v>
      </c>
      <c r="K830">
        <v>1456.5607264279899</v>
      </c>
      <c r="L830">
        <v>436.968217928397</v>
      </c>
      <c r="M830" t="s">
        <v>34</v>
      </c>
      <c r="N830">
        <f>Supermarket_Sales_Case_Study[[#This Row],[Sales_Amount]]-Supermarket_Sales_Case_Study[[#This Row],[Profit]]</f>
        <v>1019.5925084995929</v>
      </c>
      <c r="O830" s="2">
        <f>(Supermarket_Sales_Case_Study[[#This Row],[Sales_Amount]]-Supermarket_Sales_Case_Study[[#This Row],[Purchase]])/Supermarket_Sales_Case_Study[[#This Row],[Sales_Amount]]</f>
        <v>0.30000000000000004</v>
      </c>
      <c r="P830">
        <f>Supermarket_Sales_Case_Study[[#This Row],[Quantity]]*Supermarket_Sales_Case_Study[[#This Row],[Sales_Amount]]</f>
        <v>13109.046537851909</v>
      </c>
    </row>
    <row r="831" spans="1:16" x14ac:dyDescent="0.3">
      <c r="A831" t="s">
        <v>861</v>
      </c>
      <c r="B831" t="s">
        <v>39</v>
      </c>
      <c r="C831" t="s">
        <v>36</v>
      </c>
      <c r="D831">
        <v>1104</v>
      </c>
      <c r="E831" t="s">
        <v>16</v>
      </c>
      <c r="F831" t="s">
        <v>17</v>
      </c>
      <c r="G831" t="s">
        <v>23</v>
      </c>
      <c r="H831" s="1">
        <v>45358</v>
      </c>
      <c r="I831">
        <v>73.295363081181506</v>
      </c>
      <c r="J831">
        <v>4</v>
      </c>
      <c r="K831">
        <v>293.18145232472602</v>
      </c>
      <c r="L831">
        <v>87.954435697417793</v>
      </c>
      <c r="M831" t="s">
        <v>19</v>
      </c>
      <c r="N831">
        <f>Supermarket_Sales_Case_Study[[#This Row],[Sales_Amount]]-Supermarket_Sales_Case_Study[[#This Row],[Profit]]</f>
        <v>205.22701662730822</v>
      </c>
      <c r="O831" s="2">
        <f>(Supermarket_Sales_Case_Study[[#This Row],[Sales_Amount]]-Supermarket_Sales_Case_Study[[#This Row],[Purchase]])/Supermarket_Sales_Case_Study[[#This Row],[Sales_Amount]]</f>
        <v>0.3</v>
      </c>
      <c r="P831">
        <f>Supermarket_Sales_Case_Study[[#This Row],[Quantity]]*Supermarket_Sales_Case_Study[[#This Row],[Sales_Amount]]</f>
        <v>1172.7258092989041</v>
      </c>
    </row>
    <row r="832" spans="1:16" x14ac:dyDescent="0.3">
      <c r="A832" t="s">
        <v>862</v>
      </c>
      <c r="B832" t="s">
        <v>39</v>
      </c>
      <c r="C832" t="s">
        <v>30</v>
      </c>
      <c r="D832">
        <v>1545</v>
      </c>
      <c r="E832" t="s">
        <v>16</v>
      </c>
      <c r="F832" t="s">
        <v>22</v>
      </c>
      <c r="G832" t="s">
        <v>28</v>
      </c>
      <c r="H832" s="1">
        <v>45367</v>
      </c>
      <c r="I832">
        <v>296.93521207609302</v>
      </c>
      <c r="J832">
        <v>6</v>
      </c>
      <c r="K832">
        <v>1781.6112724565501</v>
      </c>
      <c r="L832">
        <v>534.48338173696698</v>
      </c>
      <c r="M832" t="s">
        <v>19</v>
      </c>
      <c r="N832">
        <f>Supermarket_Sales_Case_Study[[#This Row],[Sales_Amount]]-Supermarket_Sales_Case_Study[[#This Row],[Profit]]</f>
        <v>1247.1278907195831</v>
      </c>
      <c r="O832" s="2">
        <f>(Supermarket_Sales_Case_Study[[#This Row],[Sales_Amount]]-Supermarket_Sales_Case_Study[[#This Row],[Purchase]])/Supermarket_Sales_Case_Study[[#This Row],[Sales_Amount]]</f>
        <v>0.3000000000000011</v>
      </c>
      <c r="P832">
        <f>Supermarket_Sales_Case_Study[[#This Row],[Quantity]]*Supermarket_Sales_Case_Study[[#This Row],[Sales_Amount]]</f>
        <v>10689.6676347393</v>
      </c>
    </row>
    <row r="833" spans="1:16" x14ac:dyDescent="0.3">
      <c r="A833" t="s">
        <v>863</v>
      </c>
      <c r="B833" t="s">
        <v>39</v>
      </c>
      <c r="C833" t="s">
        <v>30</v>
      </c>
      <c r="D833">
        <v>1379</v>
      </c>
      <c r="E833" t="s">
        <v>16</v>
      </c>
      <c r="F833" t="s">
        <v>17</v>
      </c>
      <c r="G833" t="s">
        <v>33</v>
      </c>
      <c r="H833" s="1">
        <v>45339</v>
      </c>
      <c r="I833">
        <v>176.58665920293899</v>
      </c>
      <c r="J833">
        <v>6</v>
      </c>
      <c r="K833">
        <v>1059.51995521763</v>
      </c>
      <c r="L833">
        <v>317.855986565291</v>
      </c>
      <c r="M833" t="s">
        <v>19</v>
      </c>
      <c r="N833">
        <f>Supermarket_Sales_Case_Study[[#This Row],[Sales_Amount]]-Supermarket_Sales_Case_Study[[#This Row],[Profit]]</f>
        <v>741.66396865233901</v>
      </c>
      <c r="O833" s="2">
        <f>(Supermarket_Sales_Case_Study[[#This Row],[Sales_Amount]]-Supermarket_Sales_Case_Study[[#This Row],[Purchase]])/Supermarket_Sales_Case_Study[[#This Row],[Sales_Amount]]</f>
        <v>0.30000000000000188</v>
      </c>
      <c r="P833">
        <f>Supermarket_Sales_Case_Study[[#This Row],[Quantity]]*Supermarket_Sales_Case_Study[[#This Row],[Sales_Amount]]</f>
        <v>6357.1197313057801</v>
      </c>
    </row>
    <row r="834" spans="1:16" x14ac:dyDescent="0.3">
      <c r="A834" t="s">
        <v>864</v>
      </c>
      <c r="B834" t="s">
        <v>39</v>
      </c>
      <c r="C834" t="s">
        <v>15</v>
      </c>
      <c r="D834">
        <v>1109</v>
      </c>
      <c r="E834" t="s">
        <v>26</v>
      </c>
      <c r="F834" t="s">
        <v>22</v>
      </c>
      <c r="G834" t="s">
        <v>33</v>
      </c>
      <c r="H834" s="1">
        <v>45308</v>
      </c>
      <c r="I834">
        <v>49.986728113242997</v>
      </c>
      <c r="J834">
        <v>6</v>
      </c>
      <c r="K834">
        <v>299.92036867945802</v>
      </c>
      <c r="L834">
        <v>89.976110603837398</v>
      </c>
      <c r="M834" t="s">
        <v>24</v>
      </c>
      <c r="N834">
        <f>Supermarket_Sales_Case_Study[[#This Row],[Sales_Amount]]-Supermarket_Sales_Case_Study[[#This Row],[Profit]]</f>
        <v>209.94425807562061</v>
      </c>
      <c r="O834" s="2">
        <f>(Supermarket_Sales_Case_Study[[#This Row],[Sales_Amount]]-Supermarket_Sales_Case_Study[[#This Row],[Purchase]])/Supermarket_Sales_Case_Study[[#This Row],[Sales_Amount]]</f>
        <v>0.30000000000000004</v>
      </c>
      <c r="P834">
        <f>Supermarket_Sales_Case_Study[[#This Row],[Quantity]]*Supermarket_Sales_Case_Study[[#This Row],[Sales_Amount]]</f>
        <v>1799.522212076748</v>
      </c>
    </row>
    <row r="835" spans="1:16" x14ac:dyDescent="0.3">
      <c r="A835" t="s">
        <v>865</v>
      </c>
      <c r="B835" t="s">
        <v>39</v>
      </c>
      <c r="C835" t="s">
        <v>30</v>
      </c>
      <c r="D835">
        <v>1544</v>
      </c>
      <c r="E835" t="s">
        <v>26</v>
      </c>
      <c r="F835" t="s">
        <v>22</v>
      </c>
      <c r="G835" t="s">
        <v>28</v>
      </c>
      <c r="H835" s="1">
        <v>45298</v>
      </c>
      <c r="I835">
        <v>209.74113683529501</v>
      </c>
      <c r="J835">
        <v>2</v>
      </c>
      <c r="K835">
        <v>419.48227367059098</v>
      </c>
      <c r="L835">
        <v>125.844682101177</v>
      </c>
      <c r="M835" t="s">
        <v>34</v>
      </c>
      <c r="N835">
        <f>Supermarket_Sales_Case_Study[[#This Row],[Sales_Amount]]-Supermarket_Sales_Case_Study[[#This Row],[Profit]]</f>
        <v>293.63759156941398</v>
      </c>
      <c r="O835" s="2">
        <f>(Supermarket_Sales_Case_Study[[#This Row],[Sales_Amount]]-Supermarket_Sales_Case_Study[[#This Row],[Purchase]])/Supermarket_Sales_Case_Study[[#This Row],[Sales_Amount]]</f>
        <v>0.29999999999999932</v>
      </c>
      <c r="P835">
        <f>Supermarket_Sales_Case_Study[[#This Row],[Quantity]]*Supermarket_Sales_Case_Study[[#This Row],[Sales_Amount]]</f>
        <v>838.96454734118197</v>
      </c>
    </row>
    <row r="836" spans="1:16" x14ac:dyDescent="0.3">
      <c r="A836" t="s">
        <v>866</v>
      </c>
      <c r="B836" t="s">
        <v>14</v>
      </c>
      <c r="C836" t="s">
        <v>30</v>
      </c>
      <c r="D836">
        <v>1353</v>
      </c>
      <c r="E836" t="s">
        <v>26</v>
      </c>
      <c r="F836" t="s">
        <v>22</v>
      </c>
      <c r="G836" t="s">
        <v>33</v>
      </c>
      <c r="H836" s="1">
        <v>45304</v>
      </c>
      <c r="I836">
        <v>270.34563428782002</v>
      </c>
      <c r="J836">
        <v>7</v>
      </c>
      <c r="K836">
        <v>1892.4194400147401</v>
      </c>
      <c r="L836">
        <v>567.72583200442205</v>
      </c>
      <c r="M836" t="s">
        <v>24</v>
      </c>
      <c r="N836">
        <f>Supermarket_Sales_Case_Study[[#This Row],[Sales_Amount]]-Supermarket_Sales_Case_Study[[#This Row],[Profit]]</f>
        <v>1324.693608010318</v>
      </c>
      <c r="O836" s="2">
        <f>(Supermarket_Sales_Case_Study[[#This Row],[Sales_Amount]]-Supermarket_Sales_Case_Study[[#This Row],[Purchase]])/Supermarket_Sales_Case_Study[[#This Row],[Sales_Amount]]</f>
        <v>0.3</v>
      </c>
      <c r="P836">
        <f>Supermarket_Sales_Case_Study[[#This Row],[Quantity]]*Supermarket_Sales_Case_Study[[#This Row],[Sales_Amount]]</f>
        <v>13246.93608010318</v>
      </c>
    </row>
    <row r="837" spans="1:16" x14ac:dyDescent="0.3">
      <c r="A837" t="s">
        <v>867</v>
      </c>
      <c r="B837" t="s">
        <v>14</v>
      </c>
      <c r="C837" t="s">
        <v>15</v>
      </c>
      <c r="D837">
        <v>1742</v>
      </c>
      <c r="E837" t="s">
        <v>16</v>
      </c>
      <c r="F837" t="s">
        <v>17</v>
      </c>
      <c r="G837" t="s">
        <v>23</v>
      </c>
      <c r="H837" s="1">
        <v>45357</v>
      </c>
      <c r="I837">
        <v>226.10205365718801</v>
      </c>
      <c r="J837">
        <v>6</v>
      </c>
      <c r="K837">
        <v>1356.6123219431199</v>
      </c>
      <c r="L837">
        <v>406.98369658293802</v>
      </c>
      <c r="M837" t="s">
        <v>34</v>
      </c>
      <c r="N837">
        <f>Supermarket_Sales_Case_Study[[#This Row],[Sales_Amount]]-Supermarket_Sales_Case_Study[[#This Row],[Profit]]</f>
        <v>949.6286253601819</v>
      </c>
      <c r="O837" s="2">
        <f>(Supermarket_Sales_Case_Study[[#This Row],[Sales_Amount]]-Supermarket_Sales_Case_Study[[#This Row],[Purchase]])/Supermarket_Sales_Case_Study[[#This Row],[Sales_Amount]]</f>
        <v>0.30000000000000149</v>
      </c>
      <c r="P837">
        <f>Supermarket_Sales_Case_Study[[#This Row],[Quantity]]*Supermarket_Sales_Case_Study[[#This Row],[Sales_Amount]]</f>
        <v>8139.6739316587191</v>
      </c>
    </row>
    <row r="838" spans="1:16" x14ac:dyDescent="0.3">
      <c r="A838" t="s">
        <v>868</v>
      </c>
      <c r="B838" t="s">
        <v>14</v>
      </c>
      <c r="C838" t="s">
        <v>15</v>
      </c>
      <c r="D838">
        <v>1316</v>
      </c>
      <c r="E838" t="s">
        <v>26</v>
      </c>
      <c r="F838" t="s">
        <v>17</v>
      </c>
      <c r="G838" t="s">
        <v>18</v>
      </c>
      <c r="H838" s="1">
        <v>45295</v>
      </c>
      <c r="I838">
        <v>32.167559701439799</v>
      </c>
      <c r="J838">
        <v>1</v>
      </c>
      <c r="K838">
        <v>32.167559701439799</v>
      </c>
      <c r="L838">
        <v>9.6502679104319409</v>
      </c>
      <c r="M838" t="s">
        <v>34</v>
      </c>
      <c r="N838">
        <f>Supermarket_Sales_Case_Study[[#This Row],[Sales_Amount]]-Supermarket_Sales_Case_Study[[#This Row],[Profit]]</f>
        <v>22.517291791007857</v>
      </c>
      <c r="O838" s="2">
        <f>(Supermarket_Sales_Case_Study[[#This Row],[Sales_Amount]]-Supermarket_Sales_Case_Study[[#This Row],[Purchase]])/Supermarket_Sales_Case_Study[[#This Row],[Sales_Amount]]</f>
        <v>0.3000000000000001</v>
      </c>
      <c r="P838">
        <f>Supermarket_Sales_Case_Study[[#This Row],[Quantity]]*Supermarket_Sales_Case_Study[[#This Row],[Sales_Amount]]</f>
        <v>32.167559701439799</v>
      </c>
    </row>
    <row r="839" spans="1:16" x14ac:dyDescent="0.3">
      <c r="A839" t="s">
        <v>869</v>
      </c>
      <c r="B839" t="s">
        <v>14</v>
      </c>
      <c r="C839" t="s">
        <v>15</v>
      </c>
      <c r="D839">
        <v>2289</v>
      </c>
      <c r="E839" t="s">
        <v>16</v>
      </c>
      <c r="F839" t="s">
        <v>22</v>
      </c>
      <c r="G839" t="s">
        <v>33</v>
      </c>
      <c r="H839" s="1">
        <v>45301</v>
      </c>
      <c r="I839">
        <v>269.80641254587101</v>
      </c>
      <c r="J839">
        <v>2</v>
      </c>
      <c r="K839">
        <v>539.61282509174202</v>
      </c>
      <c r="L839">
        <v>161.88384752752199</v>
      </c>
      <c r="M839" t="s">
        <v>24</v>
      </c>
      <c r="N839">
        <f>Supermarket_Sales_Case_Study[[#This Row],[Sales_Amount]]-Supermarket_Sales_Case_Study[[#This Row],[Profit]]</f>
        <v>377.72897756422003</v>
      </c>
      <c r="O839" s="2">
        <f>(Supermarket_Sales_Case_Study[[#This Row],[Sales_Amount]]-Supermarket_Sales_Case_Study[[#This Row],[Purchase]])/Supermarket_Sales_Case_Study[[#This Row],[Sales_Amount]]</f>
        <v>0.29999999999999888</v>
      </c>
      <c r="P839">
        <f>Supermarket_Sales_Case_Study[[#This Row],[Quantity]]*Supermarket_Sales_Case_Study[[#This Row],[Sales_Amount]]</f>
        <v>1079.225650183484</v>
      </c>
    </row>
    <row r="840" spans="1:16" x14ac:dyDescent="0.3">
      <c r="A840" t="s">
        <v>870</v>
      </c>
      <c r="B840" t="s">
        <v>39</v>
      </c>
      <c r="C840" t="s">
        <v>30</v>
      </c>
      <c r="D840">
        <v>2088</v>
      </c>
      <c r="E840" t="s">
        <v>26</v>
      </c>
      <c r="F840" t="s">
        <v>22</v>
      </c>
      <c r="G840" t="s">
        <v>33</v>
      </c>
      <c r="H840" s="1">
        <v>45379</v>
      </c>
      <c r="I840">
        <v>240.23952189938899</v>
      </c>
      <c r="J840">
        <v>7</v>
      </c>
      <c r="K840">
        <v>1681.6766532957199</v>
      </c>
      <c r="L840">
        <v>504.502995988718</v>
      </c>
      <c r="M840" t="s">
        <v>19</v>
      </c>
      <c r="N840">
        <f>Supermarket_Sales_Case_Study[[#This Row],[Sales_Amount]]-Supermarket_Sales_Case_Study[[#This Row],[Profit]]</f>
        <v>1177.173657307002</v>
      </c>
      <c r="O840" s="2">
        <f>(Supermarket_Sales_Case_Study[[#This Row],[Sales_Amount]]-Supermarket_Sales_Case_Study[[#This Row],[Purchase]])/Supermarket_Sales_Case_Study[[#This Row],[Sales_Amount]]</f>
        <v>0.30000000000000115</v>
      </c>
      <c r="P840">
        <f>Supermarket_Sales_Case_Study[[#This Row],[Quantity]]*Supermarket_Sales_Case_Study[[#This Row],[Sales_Amount]]</f>
        <v>11771.73657307004</v>
      </c>
    </row>
    <row r="841" spans="1:16" x14ac:dyDescent="0.3">
      <c r="A841" t="s">
        <v>871</v>
      </c>
      <c r="B841" t="s">
        <v>21</v>
      </c>
      <c r="C841" t="s">
        <v>30</v>
      </c>
      <c r="D841">
        <v>1332</v>
      </c>
      <c r="E841" t="s">
        <v>16</v>
      </c>
      <c r="F841" t="s">
        <v>22</v>
      </c>
      <c r="G841" t="s">
        <v>28</v>
      </c>
      <c r="H841" s="1">
        <v>45308</v>
      </c>
      <c r="I841">
        <v>55.908131030628098</v>
      </c>
      <c r="J841">
        <v>1</v>
      </c>
      <c r="K841">
        <v>55.908131030628098</v>
      </c>
      <c r="L841">
        <v>16.7724393091884</v>
      </c>
      <c r="M841" t="s">
        <v>34</v>
      </c>
      <c r="N841">
        <f>Supermarket_Sales_Case_Study[[#This Row],[Sales_Amount]]-Supermarket_Sales_Case_Study[[#This Row],[Profit]]</f>
        <v>39.135691721439699</v>
      </c>
      <c r="O841" s="2">
        <f>(Supermarket_Sales_Case_Study[[#This Row],[Sales_Amount]]-Supermarket_Sales_Case_Study[[#This Row],[Purchase]])/Supermarket_Sales_Case_Study[[#This Row],[Sales_Amount]]</f>
        <v>0.29999999999999949</v>
      </c>
      <c r="P841">
        <f>Supermarket_Sales_Case_Study[[#This Row],[Quantity]]*Supermarket_Sales_Case_Study[[#This Row],[Sales_Amount]]</f>
        <v>55.908131030628098</v>
      </c>
    </row>
    <row r="842" spans="1:16" x14ac:dyDescent="0.3">
      <c r="A842" t="s">
        <v>872</v>
      </c>
      <c r="B842" t="s">
        <v>39</v>
      </c>
      <c r="C842" t="s">
        <v>15</v>
      </c>
      <c r="D842">
        <v>2156</v>
      </c>
      <c r="E842" t="s">
        <v>16</v>
      </c>
      <c r="F842" t="s">
        <v>17</v>
      </c>
      <c r="G842" t="s">
        <v>23</v>
      </c>
      <c r="H842" s="1">
        <v>45343</v>
      </c>
      <c r="I842">
        <v>25.0179077325168</v>
      </c>
      <c r="J842">
        <v>1</v>
      </c>
      <c r="K842">
        <v>25.0179077325168</v>
      </c>
      <c r="L842">
        <v>7.5053723197550601</v>
      </c>
      <c r="M842" t="s">
        <v>19</v>
      </c>
      <c r="N842">
        <f>Supermarket_Sales_Case_Study[[#This Row],[Sales_Amount]]-Supermarket_Sales_Case_Study[[#This Row],[Profit]]</f>
        <v>17.512535412761739</v>
      </c>
      <c r="O842" s="2">
        <f>(Supermarket_Sales_Case_Study[[#This Row],[Sales_Amount]]-Supermarket_Sales_Case_Study[[#This Row],[Purchase]])/Supermarket_Sales_Case_Study[[#This Row],[Sales_Amount]]</f>
        <v>0.30000000000000082</v>
      </c>
      <c r="P842">
        <f>Supermarket_Sales_Case_Study[[#This Row],[Quantity]]*Supermarket_Sales_Case_Study[[#This Row],[Sales_Amount]]</f>
        <v>25.0179077325168</v>
      </c>
    </row>
    <row r="843" spans="1:16" x14ac:dyDescent="0.3">
      <c r="A843" t="s">
        <v>873</v>
      </c>
      <c r="B843" t="s">
        <v>21</v>
      </c>
      <c r="C843" t="s">
        <v>36</v>
      </c>
      <c r="D843">
        <v>1591</v>
      </c>
      <c r="E843" t="s">
        <v>26</v>
      </c>
      <c r="F843" t="s">
        <v>17</v>
      </c>
      <c r="G843" t="s">
        <v>18</v>
      </c>
      <c r="H843" s="1">
        <v>45297</v>
      </c>
      <c r="I843">
        <v>171.620066841149</v>
      </c>
      <c r="J843">
        <v>1</v>
      </c>
      <c r="K843">
        <v>171.620066841149</v>
      </c>
      <c r="L843">
        <v>51.486020052344799</v>
      </c>
      <c r="M843" t="s">
        <v>24</v>
      </c>
      <c r="N843">
        <f>Supermarket_Sales_Case_Study[[#This Row],[Sales_Amount]]-Supermarket_Sales_Case_Study[[#This Row],[Profit]]</f>
        <v>120.1340467888042</v>
      </c>
      <c r="O843" s="2">
        <f>(Supermarket_Sales_Case_Study[[#This Row],[Sales_Amount]]-Supermarket_Sales_Case_Study[[#This Row],[Purchase]])/Supermarket_Sales_Case_Study[[#This Row],[Sales_Amount]]</f>
        <v>0.3000000000000006</v>
      </c>
      <c r="P843">
        <f>Supermarket_Sales_Case_Study[[#This Row],[Quantity]]*Supermarket_Sales_Case_Study[[#This Row],[Sales_Amount]]</f>
        <v>171.620066841149</v>
      </c>
    </row>
    <row r="844" spans="1:16" x14ac:dyDescent="0.3">
      <c r="A844" t="s">
        <v>874</v>
      </c>
      <c r="B844" t="s">
        <v>14</v>
      </c>
      <c r="C844" t="s">
        <v>15</v>
      </c>
      <c r="D844">
        <v>1782</v>
      </c>
      <c r="E844" t="s">
        <v>26</v>
      </c>
      <c r="F844" t="s">
        <v>17</v>
      </c>
      <c r="G844" t="s">
        <v>28</v>
      </c>
      <c r="H844" s="1">
        <v>45374</v>
      </c>
      <c r="I844">
        <v>55.2503852885933</v>
      </c>
      <c r="J844">
        <v>8</v>
      </c>
      <c r="K844">
        <v>442.003082308746</v>
      </c>
      <c r="L844">
        <v>132.60092469262301</v>
      </c>
      <c r="M844" t="s">
        <v>19</v>
      </c>
      <c r="N844">
        <f>Supermarket_Sales_Case_Study[[#This Row],[Sales_Amount]]-Supermarket_Sales_Case_Study[[#This Row],[Profit]]</f>
        <v>309.40215761612296</v>
      </c>
      <c r="O844" s="2">
        <f>(Supermarket_Sales_Case_Study[[#This Row],[Sales_Amount]]-Supermarket_Sales_Case_Study[[#This Row],[Purchase]])/Supermarket_Sales_Case_Study[[#This Row],[Sales_Amount]]</f>
        <v>0.29999999999999827</v>
      </c>
      <c r="P844">
        <f>Supermarket_Sales_Case_Study[[#This Row],[Quantity]]*Supermarket_Sales_Case_Study[[#This Row],[Sales_Amount]]</f>
        <v>3536.024658469968</v>
      </c>
    </row>
    <row r="845" spans="1:16" x14ac:dyDescent="0.3">
      <c r="A845" t="s">
        <v>875</v>
      </c>
      <c r="B845" t="s">
        <v>39</v>
      </c>
      <c r="C845" t="s">
        <v>36</v>
      </c>
      <c r="D845">
        <v>1539</v>
      </c>
      <c r="E845" t="s">
        <v>16</v>
      </c>
      <c r="F845" t="s">
        <v>17</v>
      </c>
      <c r="G845" t="s">
        <v>28</v>
      </c>
      <c r="H845" s="1">
        <v>45360</v>
      </c>
      <c r="I845">
        <v>252.03137625262801</v>
      </c>
      <c r="J845">
        <v>4</v>
      </c>
      <c r="K845">
        <v>1008.12550501051</v>
      </c>
      <c r="L845">
        <v>302.43765150315397</v>
      </c>
      <c r="M845" t="s">
        <v>34</v>
      </c>
      <c r="N845">
        <f>Supermarket_Sales_Case_Study[[#This Row],[Sales_Amount]]-Supermarket_Sales_Case_Study[[#This Row],[Profit]]</f>
        <v>705.68785350735607</v>
      </c>
      <c r="O845" s="2">
        <f>(Supermarket_Sales_Case_Study[[#This Row],[Sales_Amount]]-Supermarket_Sales_Case_Study[[#This Row],[Purchase]])/Supermarket_Sales_Case_Study[[#This Row],[Sales_Amount]]</f>
        <v>0.30000000000000093</v>
      </c>
      <c r="P845">
        <f>Supermarket_Sales_Case_Study[[#This Row],[Quantity]]*Supermarket_Sales_Case_Study[[#This Row],[Sales_Amount]]</f>
        <v>4032.5020200420399</v>
      </c>
    </row>
    <row r="846" spans="1:16" x14ac:dyDescent="0.3">
      <c r="A846" t="s">
        <v>876</v>
      </c>
      <c r="B846" t="s">
        <v>14</v>
      </c>
      <c r="C846" t="s">
        <v>36</v>
      </c>
      <c r="D846">
        <v>1734</v>
      </c>
      <c r="E846" t="s">
        <v>16</v>
      </c>
      <c r="F846" t="s">
        <v>22</v>
      </c>
      <c r="G846" t="s">
        <v>37</v>
      </c>
      <c r="H846" s="1">
        <v>45365</v>
      </c>
      <c r="I846">
        <v>113.917050434785</v>
      </c>
      <c r="J846">
        <v>4</v>
      </c>
      <c r="K846">
        <v>455.66820173914101</v>
      </c>
      <c r="L846">
        <v>136.700460521742</v>
      </c>
      <c r="M846" t="s">
        <v>34</v>
      </c>
      <c r="N846">
        <f>Supermarket_Sales_Case_Study[[#This Row],[Sales_Amount]]-Supermarket_Sales_Case_Study[[#This Row],[Profit]]</f>
        <v>318.96774121739901</v>
      </c>
      <c r="O846" s="2">
        <f>(Supermarket_Sales_Case_Study[[#This Row],[Sales_Amount]]-Supermarket_Sales_Case_Study[[#This Row],[Purchase]])/Supermarket_Sales_Case_Study[[#This Row],[Sales_Amount]]</f>
        <v>0.29999999999999932</v>
      </c>
      <c r="P846">
        <f>Supermarket_Sales_Case_Study[[#This Row],[Quantity]]*Supermarket_Sales_Case_Study[[#This Row],[Sales_Amount]]</f>
        <v>1822.672806956564</v>
      </c>
    </row>
    <row r="847" spans="1:16" x14ac:dyDescent="0.3">
      <c r="A847" t="s">
        <v>877</v>
      </c>
      <c r="B847" t="s">
        <v>39</v>
      </c>
      <c r="C847" t="s">
        <v>15</v>
      </c>
      <c r="D847">
        <v>1620</v>
      </c>
      <c r="E847" t="s">
        <v>26</v>
      </c>
      <c r="F847" t="s">
        <v>22</v>
      </c>
      <c r="G847" t="s">
        <v>23</v>
      </c>
      <c r="H847" s="1">
        <v>45300</v>
      </c>
      <c r="I847">
        <v>274.73880897360601</v>
      </c>
      <c r="J847">
        <v>2</v>
      </c>
      <c r="K847">
        <v>549.47761794721305</v>
      </c>
      <c r="L847">
        <v>164.84328538416401</v>
      </c>
      <c r="M847" t="s">
        <v>34</v>
      </c>
      <c r="N847">
        <f>Supermarket_Sales_Case_Study[[#This Row],[Sales_Amount]]-Supermarket_Sales_Case_Study[[#This Row],[Profit]]</f>
        <v>384.63433256304904</v>
      </c>
      <c r="O847" s="2">
        <f>(Supermarket_Sales_Case_Study[[#This Row],[Sales_Amount]]-Supermarket_Sales_Case_Study[[#This Row],[Purchase]])/Supermarket_Sales_Case_Study[[#This Row],[Sales_Amount]]</f>
        <v>0.30000000000000016</v>
      </c>
      <c r="P847">
        <f>Supermarket_Sales_Case_Study[[#This Row],[Quantity]]*Supermarket_Sales_Case_Study[[#This Row],[Sales_Amount]]</f>
        <v>1098.9552358944261</v>
      </c>
    </row>
    <row r="848" spans="1:16" x14ac:dyDescent="0.3">
      <c r="A848" t="s">
        <v>878</v>
      </c>
      <c r="B848" t="s">
        <v>14</v>
      </c>
      <c r="C848" t="s">
        <v>15</v>
      </c>
      <c r="D848">
        <v>1618</v>
      </c>
      <c r="E848" t="s">
        <v>26</v>
      </c>
      <c r="F848" t="s">
        <v>17</v>
      </c>
      <c r="G848" t="s">
        <v>18</v>
      </c>
      <c r="H848" s="1">
        <v>45368</v>
      </c>
      <c r="I848">
        <v>174.049569920891</v>
      </c>
      <c r="J848">
        <v>1</v>
      </c>
      <c r="K848">
        <v>174.049569920891</v>
      </c>
      <c r="L848">
        <v>52.214870976267498</v>
      </c>
      <c r="M848" t="s">
        <v>24</v>
      </c>
      <c r="N848">
        <f>Supermarket_Sales_Case_Study[[#This Row],[Sales_Amount]]-Supermarket_Sales_Case_Study[[#This Row],[Profit]]</f>
        <v>121.83469894462351</v>
      </c>
      <c r="O848" s="2">
        <f>(Supermarket_Sales_Case_Study[[#This Row],[Sales_Amount]]-Supermarket_Sales_Case_Study[[#This Row],[Purchase]])/Supermarket_Sales_Case_Study[[#This Row],[Sales_Amount]]</f>
        <v>0.3000000000000011</v>
      </c>
      <c r="P848">
        <f>Supermarket_Sales_Case_Study[[#This Row],[Quantity]]*Supermarket_Sales_Case_Study[[#This Row],[Sales_Amount]]</f>
        <v>174.049569920891</v>
      </c>
    </row>
    <row r="849" spans="1:16" x14ac:dyDescent="0.3">
      <c r="A849" t="s">
        <v>879</v>
      </c>
      <c r="B849" t="s">
        <v>21</v>
      </c>
      <c r="C849" t="s">
        <v>15</v>
      </c>
      <c r="D849">
        <v>2392</v>
      </c>
      <c r="E849" t="s">
        <v>16</v>
      </c>
      <c r="F849" t="s">
        <v>17</v>
      </c>
      <c r="G849" t="s">
        <v>23</v>
      </c>
      <c r="H849" s="1">
        <v>45374</v>
      </c>
      <c r="I849">
        <v>62.974991429503703</v>
      </c>
      <c r="J849">
        <v>9</v>
      </c>
      <c r="K849">
        <v>566.77492286553297</v>
      </c>
      <c r="L849">
        <v>170.03247685965999</v>
      </c>
      <c r="M849" t="s">
        <v>34</v>
      </c>
      <c r="N849">
        <f>Supermarket_Sales_Case_Study[[#This Row],[Sales_Amount]]-Supermarket_Sales_Case_Study[[#This Row],[Profit]]</f>
        <v>396.74244600587298</v>
      </c>
      <c r="O849" s="2">
        <f>(Supermarket_Sales_Case_Study[[#This Row],[Sales_Amount]]-Supermarket_Sales_Case_Study[[#This Row],[Purchase]])/Supermarket_Sales_Case_Study[[#This Row],[Sales_Amount]]</f>
        <v>0.30000000000000016</v>
      </c>
      <c r="P849">
        <f>Supermarket_Sales_Case_Study[[#This Row],[Quantity]]*Supermarket_Sales_Case_Study[[#This Row],[Sales_Amount]]</f>
        <v>5100.9743057897967</v>
      </c>
    </row>
    <row r="850" spans="1:16" x14ac:dyDescent="0.3">
      <c r="A850" t="s">
        <v>880</v>
      </c>
      <c r="B850" t="s">
        <v>21</v>
      </c>
      <c r="C850" t="s">
        <v>30</v>
      </c>
      <c r="D850">
        <v>1908</v>
      </c>
      <c r="E850" t="s">
        <v>26</v>
      </c>
      <c r="F850" t="s">
        <v>22</v>
      </c>
      <c r="G850" t="s">
        <v>18</v>
      </c>
      <c r="H850" s="1">
        <v>45312</v>
      </c>
      <c r="I850">
        <v>50.483671534342001</v>
      </c>
      <c r="J850">
        <v>7</v>
      </c>
      <c r="K850">
        <v>353.38570074039399</v>
      </c>
      <c r="L850">
        <v>106.015710222118</v>
      </c>
      <c r="M850" t="s">
        <v>24</v>
      </c>
      <c r="N850">
        <f>Supermarket_Sales_Case_Study[[#This Row],[Sales_Amount]]-Supermarket_Sales_Case_Study[[#This Row],[Profit]]</f>
        <v>247.36999051827598</v>
      </c>
      <c r="O850" s="2">
        <f>(Supermarket_Sales_Case_Study[[#This Row],[Sales_Amount]]-Supermarket_Sales_Case_Study[[#This Row],[Purchase]])/Supermarket_Sales_Case_Study[[#This Row],[Sales_Amount]]</f>
        <v>0.29999999999999943</v>
      </c>
      <c r="P850">
        <f>Supermarket_Sales_Case_Study[[#This Row],[Quantity]]*Supermarket_Sales_Case_Study[[#This Row],[Sales_Amount]]</f>
        <v>2473.6999051827579</v>
      </c>
    </row>
    <row r="851" spans="1:16" x14ac:dyDescent="0.3">
      <c r="A851" t="s">
        <v>881</v>
      </c>
      <c r="B851" t="s">
        <v>21</v>
      </c>
      <c r="C851" t="s">
        <v>36</v>
      </c>
      <c r="D851">
        <v>1991</v>
      </c>
      <c r="E851" t="s">
        <v>16</v>
      </c>
      <c r="F851" t="s">
        <v>17</v>
      </c>
      <c r="G851" t="s">
        <v>23</v>
      </c>
      <c r="H851" s="1">
        <v>45315</v>
      </c>
      <c r="I851">
        <v>177.17700689174799</v>
      </c>
      <c r="J851">
        <v>4</v>
      </c>
      <c r="K851">
        <v>708.70802756699402</v>
      </c>
      <c r="L851">
        <v>212.612408270098</v>
      </c>
      <c r="M851" t="s">
        <v>19</v>
      </c>
      <c r="N851">
        <f>Supermarket_Sales_Case_Study[[#This Row],[Sales_Amount]]-Supermarket_Sales_Case_Study[[#This Row],[Profit]]</f>
        <v>496.09561929689602</v>
      </c>
      <c r="O851" s="2">
        <f>(Supermarket_Sales_Case_Study[[#This Row],[Sales_Amount]]-Supermarket_Sales_Case_Study[[#This Row],[Purchase]])/Supermarket_Sales_Case_Study[[#This Row],[Sales_Amount]]</f>
        <v>0.29999999999999971</v>
      </c>
      <c r="P851">
        <f>Supermarket_Sales_Case_Study[[#This Row],[Quantity]]*Supermarket_Sales_Case_Study[[#This Row],[Sales_Amount]]</f>
        <v>2834.8321102679761</v>
      </c>
    </row>
    <row r="852" spans="1:16" x14ac:dyDescent="0.3">
      <c r="A852" t="s">
        <v>882</v>
      </c>
      <c r="B852" t="s">
        <v>39</v>
      </c>
      <c r="C852" t="s">
        <v>30</v>
      </c>
      <c r="D852">
        <v>1098</v>
      </c>
      <c r="E852" t="s">
        <v>16</v>
      </c>
      <c r="F852" t="s">
        <v>17</v>
      </c>
      <c r="G852" t="s">
        <v>28</v>
      </c>
      <c r="H852" s="1">
        <v>45295</v>
      </c>
      <c r="I852">
        <v>230.94624744010801</v>
      </c>
      <c r="J852">
        <v>6</v>
      </c>
      <c r="K852">
        <v>1385.6774846406499</v>
      </c>
      <c r="L852">
        <v>415.70324539219502</v>
      </c>
      <c r="M852" t="s">
        <v>34</v>
      </c>
      <c r="N852">
        <f>Supermarket_Sales_Case_Study[[#This Row],[Sales_Amount]]-Supermarket_Sales_Case_Study[[#This Row],[Profit]]</f>
        <v>969.97423924845498</v>
      </c>
      <c r="O852" s="2">
        <f>(Supermarket_Sales_Case_Study[[#This Row],[Sales_Amount]]-Supermarket_Sales_Case_Study[[#This Row],[Purchase]])/Supermarket_Sales_Case_Study[[#This Row],[Sales_Amount]]</f>
        <v>0.3</v>
      </c>
      <c r="P852">
        <f>Supermarket_Sales_Case_Study[[#This Row],[Quantity]]*Supermarket_Sales_Case_Study[[#This Row],[Sales_Amount]]</f>
        <v>8314.0649078439001</v>
      </c>
    </row>
    <row r="853" spans="1:16" x14ac:dyDescent="0.3">
      <c r="A853" t="s">
        <v>883</v>
      </c>
      <c r="B853" t="s">
        <v>21</v>
      </c>
      <c r="C853" t="s">
        <v>30</v>
      </c>
      <c r="D853">
        <v>1316</v>
      </c>
      <c r="E853" t="s">
        <v>26</v>
      </c>
      <c r="F853" t="s">
        <v>17</v>
      </c>
      <c r="G853" t="s">
        <v>28</v>
      </c>
      <c r="H853" s="1">
        <v>45315</v>
      </c>
      <c r="I853">
        <v>236.636637845232</v>
      </c>
      <c r="J853">
        <v>2</v>
      </c>
      <c r="K853">
        <v>473.27327569046503</v>
      </c>
      <c r="L853">
        <v>141.981982707139</v>
      </c>
      <c r="M853" t="s">
        <v>34</v>
      </c>
      <c r="N853">
        <f>Supermarket_Sales_Case_Study[[#This Row],[Sales_Amount]]-Supermarket_Sales_Case_Study[[#This Row],[Profit]]</f>
        <v>331.291292983326</v>
      </c>
      <c r="O853" s="2">
        <f>(Supermarket_Sales_Case_Study[[#This Row],[Sales_Amount]]-Supermarket_Sales_Case_Study[[#This Row],[Purchase]])/Supermarket_Sales_Case_Study[[#This Row],[Sales_Amount]]</f>
        <v>0.29999999999999899</v>
      </c>
      <c r="P853">
        <f>Supermarket_Sales_Case_Study[[#This Row],[Quantity]]*Supermarket_Sales_Case_Study[[#This Row],[Sales_Amount]]</f>
        <v>946.54655138093005</v>
      </c>
    </row>
    <row r="854" spans="1:16" x14ac:dyDescent="0.3">
      <c r="A854" t="s">
        <v>884</v>
      </c>
      <c r="B854" t="s">
        <v>39</v>
      </c>
      <c r="C854" t="s">
        <v>15</v>
      </c>
      <c r="D854">
        <v>1122</v>
      </c>
      <c r="E854" t="s">
        <v>26</v>
      </c>
      <c r="F854" t="s">
        <v>17</v>
      </c>
      <c r="G854" t="s">
        <v>31</v>
      </c>
      <c r="H854" s="1">
        <v>45350</v>
      </c>
      <c r="I854">
        <v>89.969647287971497</v>
      </c>
      <c r="J854">
        <v>7</v>
      </c>
      <c r="K854">
        <v>629.78753101580003</v>
      </c>
      <c r="L854">
        <v>188.93625930473999</v>
      </c>
      <c r="M854" t="s">
        <v>34</v>
      </c>
      <c r="N854">
        <f>Supermarket_Sales_Case_Study[[#This Row],[Sales_Amount]]-Supermarket_Sales_Case_Study[[#This Row],[Profit]]</f>
        <v>440.85127171106001</v>
      </c>
      <c r="O854" s="2">
        <f>(Supermarket_Sales_Case_Study[[#This Row],[Sales_Amount]]-Supermarket_Sales_Case_Study[[#This Row],[Purchase]])/Supermarket_Sales_Case_Study[[#This Row],[Sales_Amount]]</f>
        <v>0.30000000000000004</v>
      </c>
      <c r="P854">
        <f>Supermarket_Sales_Case_Study[[#This Row],[Quantity]]*Supermarket_Sales_Case_Study[[#This Row],[Sales_Amount]]</f>
        <v>4408.5127171106005</v>
      </c>
    </row>
    <row r="855" spans="1:16" x14ac:dyDescent="0.3">
      <c r="A855" t="s">
        <v>885</v>
      </c>
      <c r="B855" t="s">
        <v>21</v>
      </c>
      <c r="C855" t="s">
        <v>30</v>
      </c>
      <c r="D855">
        <v>2343</v>
      </c>
      <c r="E855" t="s">
        <v>26</v>
      </c>
      <c r="F855" t="s">
        <v>17</v>
      </c>
      <c r="G855" t="s">
        <v>33</v>
      </c>
      <c r="H855" s="1">
        <v>45294</v>
      </c>
      <c r="I855">
        <v>69.231560084528496</v>
      </c>
      <c r="J855">
        <v>2</v>
      </c>
      <c r="K855">
        <v>138.46312016905699</v>
      </c>
      <c r="L855">
        <v>41.538936050717098</v>
      </c>
      <c r="M855" t="s">
        <v>19</v>
      </c>
      <c r="N855">
        <f>Supermarket_Sales_Case_Study[[#This Row],[Sales_Amount]]-Supermarket_Sales_Case_Study[[#This Row],[Profit]]</f>
        <v>96.924184118339895</v>
      </c>
      <c r="O855" s="2">
        <f>(Supermarket_Sales_Case_Study[[#This Row],[Sales_Amount]]-Supermarket_Sales_Case_Study[[#This Row],[Purchase]])/Supermarket_Sales_Case_Study[[#This Row],[Sales_Amount]]</f>
        <v>0.3</v>
      </c>
      <c r="P855">
        <f>Supermarket_Sales_Case_Study[[#This Row],[Quantity]]*Supermarket_Sales_Case_Study[[#This Row],[Sales_Amount]]</f>
        <v>276.92624033811398</v>
      </c>
    </row>
    <row r="856" spans="1:16" x14ac:dyDescent="0.3">
      <c r="A856" t="s">
        <v>886</v>
      </c>
      <c r="B856" t="s">
        <v>21</v>
      </c>
      <c r="C856" t="s">
        <v>15</v>
      </c>
      <c r="D856">
        <v>1798</v>
      </c>
      <c r="E856" t="s">
        <v>26</v>
      </c>
      <c r="F856" t="s">
        <v>17</v>
      </c>
      <c r="G856" t="s">
        <v>37</v>
      </c>
      <c r="H856" s="1">
        <v>45359</v>
      </c>
      <c r="I856">
        <v>14.8593283027909</v>
      </c>
      <c r="J856">
        <v>8</v>
      </c>
      <c r="K856">
        <v>118.874626422327</v>
      </c>
      <c r="L856">
        <v>35.662387926698102</v>
      </c>
      <c r="M856" t="s">
        <v>34</v>
      </c>
      <c r="N856">
        <f>Supermarket_Sales_Case_Study[[#This Row],[Sales_Amount]]-Supermarket_Sales_Case_Study[[#This Row],[Profit]]</f>
        <v>83.212238495628895</v>
      </c>
      <c r="O856" s="2">
        <f>(Supermarket_Sales_Case_Study[[#This Row],[Sales_Amount]]-Supermarket_Sales_Case_Study[[#This Row],[Purchase]])/Supermarket_Sales_Case_Study[[#This Row],[Sales_Amount]]</f>
        <v>0.30000000000000004</v>
      </c>
      <c r="P856">
        <f>Supermarket_Sales_Case_Study[[#This Row],[Quantity]]*Supermarket_Sales_Case_Study[[#This Row],[Sales_Amount]]</f>
        <v>950.99701137861598</v>
      </c>
    </row>
    <row r="857" spans="1:16" x14ac:dyDescent="0.3">
      <c r="A857" t="s">
        <v>887</v>
      </c>
      <c r="B857" t="s">
        <v>39</v>
      </c>
      <c r="C857" t="s">
        <v>36</v>
      </c>
      <c r="D857">
        <v>1456</v>
      </c>
      <c r="E857" t="s">
        <v>26</v>
      </c>
      <c r="F857" t="s">
        <v>22</v>
      </c>
      <c r="G857" t="s">
        <v>23</v>
      </c>
      <c r="H857" s="1">
        <v>45331</v>
      </c>
      <c r="I857">
        <v>206.96775384833899</v>
      </c>
      <c r="J857">
        <v>8</v>
      </c>
      <c r="K857">
        <v>1655.7420307867101</v>
      </c>
      <c r="L857">
        <v>496.722609236013</v>
      </c>
      <c r="M857" t="s">
        <v>24</v>
      </c>
      <c r="N857">
        <f>Supermarket_Sales_Case_Study[[#This Row],[Sales_Amount]]-Supermarket_Sales_Case_Study[[#This Row],[Profit]]</f>
        <v>1159.0194215506972</v>
      </c>
      <c r="O857" s="2">
        <f>(Supermarket_Sales_Case_Study[[#This Row],[Sales_Amount]]-Supermarket_Sales_Case_Study[[#This Row],[Purchase]])/Supermarket_Sales_Case_Study[[#This Row],[Sales_Amount]]</f>
        <v>0.29999999999999993</v>
      </c>
      <c r="P857">
        <f>Supermarket_Sales_Case_Study[[#This Row],[Quantity]]*Supermarket_Sales_Case_Study[[#This Row],[Sales_Amount]]</f>
        <v>13245.936246293681</v>
      </c>
    </row>
    <row r="858" spans="1:16" x14ac:dyDescent="0.3">
      <c r="A858" t="s">
        <v>888</v>
      </c>
      <c r="B858" t="s">
        <v>39</v>
      </c>
      <c r="C858" t="s">
        <v>15</v>
      </c>
      <c r="D858">
        <v>1521</v>
      </c>
      <c r="E858" t="s">
        <v>16</v>
      </c>
      <c r="F858" t="s">
        <v>17</v>
      </c>
      <c r="G858" t="s">
        <v>37</v>
      </c>
      <c r="H858" s="1">
        <v>45339</v>
      </c>
      <c r="I858">
        <v>32.204794945726299</v>
      </c>
      <c r="J858">
        <v>1</v>
      </c>
      <c r="K858">
        <v>32.204794945726299</v>
      </c>
      <c r="L858">
        <v>9.6614384837178893</v>
      </c>
      <c r="M858" t="s">
        <v>19</v>
      </c>
      <c r="N858">
        <f>Supermarket_Sales_Case_Study[[#This Row],[Sales_Amount]]-Supermarket_Sales_Case_Study[[#This Row],[Profit]]</f>
        <v>22.543356462008411</v>
      </c>
      <c r="O858" s="2">
        <f>(Supermarket_Sales_Case_Study[[#This Row],[Sales_Amount]]-Supermarket_Sales_Case_Study[[#This Row],[Purchase]])/Supermarket_Sales_Case_Study[[#This Row],[Sales_Amount]]</f>
        <v>0.29999999999999993</v>
      </c>
      <c r="P858">
        <f>Supermarket_Sales_Case_Study[[#This Row],[Quantity]]*Supermarket_Sales_Case_Study[[#This Row],[Sales_Amount]]</f>
        <v>32.204794945726299</v>
      </c>
    </row>
    <row r="859" spans="1:16" x14ac:dyDescent="0.3">
      <c r="A859" t="s">
        <v>889</v>
      </c>
      <c r="B859" t="s">
        <v>21</v>
      </c>
      <c r="C859" t="s">
        <v>30</v>
      </c>
      <c r="D859">
        <v>1519</v>
      </c>
      <c r="E859" t="s">
        <v>16</v>
      </c>
      <c r="F859" t="s">
        <v>17</v>
      </c>
      <c r="G859" t="s">
        <v>31</v>
      </c>
      <c r="H859" s="1">
        <v>45345</v>
      </c>
      <c r="I859">
        <v>132.02074851211799</v>
      </c>
      <c r="J859">
        <v>8</v>
      </c>
      <c r="K859">
        <v>1056.1659880969401</v>
      </c>
      <c r="L859">
        <v>316.84979642908399</v>
      </c>
      <c r="M859" t="s">
        <v>19</v>
      </c>
      <c r="N859">
        <f>Supermarket_Sales_Case_Study[[#This Row],[Sales_Amount]]-Supermarket_Sales_Case_Study[[#This Row],[Profit]]</f>
        <v>739.31619166785606</v>
      </c>
      <c r="O859" s="2">
        <f>(Supermarket_Sales_Case_Study[[#This Row],[Sales_Amount]]-Supermarket_Sales_Case_Study[[#This Row],[Purchase]])/Supermarket_Sales_Case_Study[[#This Row],[Sales_Amount]]</f>
        <v>0.30000000000000188</v>
      </c>
      <c r="P859">
        <f>Supermarket_Sales_Case_Study[[#This Row],[Quantity]]*Supermarket_Sales_Case_Study[[#This Row],[Sales_Amount]]</f>
        <v>8449.3279047755204</v>
      </c>
    </row>
    <row r="860" spans="1:16" x14ac:dyDescent="0.3">
      <c r="A860" t="s">
        <v>890</v>
      </c>
      <c r="B860" t="s">
        <v>39</v>
      </c>
      <c r="C860" t="s">
        <v>30</v>
      </c>
      <c r="D860">
        <v>1916</v>
      </c>
      <c r="E860" t="s">
        <v>26</v>
      </c>
      <c r="F860" t="s">
        <v>22</v>
      </c>
      <c r="G860" t="s">
        <v>33</v>
      </c>
      <c r="H860" s="1">
        <v>45326</v>
      </c>
      <c r="I860">
        <v>184.487827565305</v>
      </c>
      <c r="J860">
        <v>2</v>
      </c>
      <c r="K860">
        <v>368.97565513061102</v>
      </c>
      <c r="L860">
        <v>110.692696539183</v>
      </c>
      <c r="M860" t="s">
        <v>19</v>
      </c>
      <c r="N860">
        <f>Supermarket_Sales_Case_Study[[#This Row],[Sales_Amount]]-Supermarket_Sales_Case_Study[[#This Row],[Profit]]</f>
        <v>258.28295859142804</v>
      </c>
      <c r="O860" s="2">
        <f>(Supermarket_Sales_Case_Study[[#This Row],[Sales_Amount]]-Supermarket_Sales_Case_Study[[#This Row],[Purchase]])/Supermarket_Sales_Case_Study[[#This Row],[Sales_Amount]]</f>
        <v>0.2999999999999991</v>
      </c>
      <c r="P860">
        <f>Supermarket_Sales_Case_Study[[#This Row],[Quantity]]*Supermarket_Sales_Case_Study[[#This Row],[Sales_Amount]]</f>
        <v>737.95131026122203</v>
      </c>
    </row>
    <row r="861" spans="1:16" x14ac:dyDescent="0.3">
      <c r="A861" t="s">
        <v>891</v>
      </c>
      <c r="B861" t="s">
        <v>21</v>
      </c>
      <c r="C861" t="s">
        <v>15</v>
      </c>
      <c r="D861">
        <v>1716</v>
      </c>
      <c r="E861" t="s">
        <v>26</v>
      </c>
      <c r="F861" t="s">
        <v>22</v>
      </c>
      <c r="G861" t="s">
        <v>23</v>
      </c>
      <c r="H861" s="1">
        <v>45347</v>
      </c>
      <c r="I861">
        <v>281.76159402670601</v>
      </c>
      <c r="J861">
        <v>6</v>
      </c>
      <c r="K861">
        <v>1690.5695641602299</v>
      </c>
      <c r="L861">
        <v>507.17086924807103</v>
      </c>
      <c r="M861" t="s">
        <v>19</v>
      </c>
      <c r="N861">
        <f>Supermarket_Sales_Case_Study[[#This Row],[Sales_Amount]]-Supermarket_Sales_Case_Study[[#This Row],[Profit]]</f>
        <v>1183.3986949121588</v>
      </c>
      <c r="O861" s="2">
        <f>(Supermarket_Sales_Case_Study[[#This Row],[Sales_Amount]]-Supermarket_Sales_Case_Study[[#This Row],[Purchase]])/Supermarket_Sales_Case_Study[[#This Row],[Sales_Amount]]</f>
        <v>0.30000000000000127</v>
      </c>
      <c r="P861">
        <f>Supermarket_Sales_Case_Study[[#This Row],[Quantity]]*Supermarket_Sales_Case_Study[[#This Row],[Sales_Amount]]</f>
        <v>10143.41738496138</v>
      </c>
    </row>
    <row r="862" spans="1:16" x14ac:dyDescent="0.3">
      <c r="A862" t="s">
        <v>892</v>
      </c>
      <c r="B862" t="s">
        <v>39</v>
      </c>
      <c r="C862" t="s">
        <v>15</v>
      </c>
      <c r="D862">
        <v>1314</v>
      </c>
      <c r="E862" t="s">
        <v>26</v>
      </c>
      <c r="F862" t="s">
        <v>22</v>
      </c>
      <c r="G862" t="s">
        <v>18</v>
      </c>
      <c r="H862" s="1">
        <v>45380</v>
      </c>
      <c r="I862">
        <v>100.422619717172</v>
      </c>
      <c r="J862">
        <v>1</v>
      </c>
      <c r="K862">
        <v>100.422619717172</v>
      </c>
      <c r="L862">
        <v>30.1267859151518</v>
      </c>
      <c r="M862" t="s">
        <v>19</v>
      </c>
      <c r="N862">
        <f>Supermarket_Sales_Case_Study[[#This Row],[Sales_Amount]]-Supermarket_Sales_Case_Study[[#This Row],[Profit]]</f>
        <v>70.295833802020198</v>
      </c>
      <c r="O862" s="2">
        <f>(Supermarket_Sales_Case_Study[[#This Row],[Sales_Amount]]-Supermarket_Sales_Case_Study[[#This Row],[Purchase]])/Supermarket_Sales_Case_Study[[#This Row],[Sales_Amount]]</f>
        <v>0.30000000000000199</v>
      </c>
      <c r="P862">
        <f>Supermarket_Sales_Case_Study[[#This Row],[Quantity]]*Supermarket_Sales_Case_Study[[#This Row],[Sales_Amount]]</f>
        <v>100.422619717172</v>
      </c>
    </row>
    <row r="863" spans="1:16" x14ac:dyDescent="0.3">
      <c r="A863" t="s">
        <v>893</v>
      </c>
      <c r="B863" t="s">
        <v>14</v>
      </c>
      <c r="C863" t="s">
        <v>30</v>
      </c>
      <c r="D863">
        <v>1708</v>
      </c>
      <c r="E863" t="s">
        <v>16</v>
      </c>
      <c r="F863" t="s">
        <v>17</v>
      </c>
      <c r="G863" t="s">
        <v>33</v>
      </c>
      <c r="H863" s="1">
        <v>45331</v>
      </c>
      <c r="I863">
        <v>82.433927109490696</v>
      </c>
      <c r="J863">
        <v>5</v>
      </c>
      <c r="K863">
        <v>412.16963554745303</v>
      </c>
      <c r="L863">
        <v>123.650890664236</v>
      </c>
      <c r="M863" t="s">
        <v>24</v>
      </c>
      <c r="N863">
        <f>Supermarket_Sales_Case_Study[[#This Row],[Sales_Amount]]-Supermarket_Sales_Case_Study[[#This Row],[Profit]]</f>
        <v>288.51874488321704</v>
      </c>
      <c r="O863" s="2">
        <f>(Supermarket_Sales_Case_Study[[#This Row],[Sales_Amount]]-Supermarket_Sales_Case_Study[[#This Row],[Purchase]])/Supermarket_Sales_Case_Study[[#This Row],[Sales_Amount]]</f>
        <v>0.30000000000000021</v>
      </c>
      <c r="P863">
        <f>Supermarket_Sales_Case_Study[[#This Row],[Quantity]]*Supermarket_Sales_Case_Study[[#This Row],[Sales_Amount]]</f>
        <v>2060.8481777372654</v>
      </c>
    </row>
    <row r="864" spans="1:16" x14ac:dyDescent="0.3">
      <c r="A864" t="s">
        <v>894</v>
      </c>
      <c r="B864" t="s">
        <v>14</v>
      </c>
      <c r="C864" t="s">
        <v>36</v>
      </c>
      <c r="D864">
        <v>1709</v>
      </c>
      <c r="E864" t="s">
        <v>26</v>
      </c>
      <c r="F864" t="s">
        <v>22</v>
      </c>
      <c r="G864" t="s">
        <v>28</v>
      </c>
      <c r="H864" s="1">
        <v>45368</v>
      </c>
      <c r="I864">
        <v>199.70644474296799</v>
      </c>
      <c r="J864">
        <v>7</v>
      </c>
      <c r="K864">
        <v>1397.94511320077</v>
      </c>
      <c r="L864">
        <v>419.38353396023302</v>
      </c>
      <c r="M864" t="s">
        <v>19</v>
      </c>
      <c r="N864">
        <f>Supermarket_Sales_Case_Study[[#This Row],[Sales_Amount]]-Supermarket_Sales_Case_Study[[#This Row],[Profit]]</f>
        <v>978.56157924053696</v>
      </c>
      <c r="O864" s="2">
        <f>(Supermarket_Sales_Case_Study[[#This Row],[Sales_Amount]]-Supermarket_Sales_Case_Study[[#This Row],[Purchase]])/Supermarket_Sales_Case_Study[[#This Row],[Sales_Amount]]</f>
        <v>0.30000000000000149</v>
      </c>
      <c r="P864">
        <f>Supermarket_Sales_Case_Study[[#This Row],[Quantity]]*Supermarket_Sales_Case_Study[[#This Row],[Sales_Amount]]</f>
        <v>9785.6157924053896</v>
      </c>
    </row>
    <row r="865" spans="1:16" x14ac:dyDescent="0.3">
      <c r="A865" t="s">
        <v>895</v>
      </c>
      <c r="B865" t="s">
        <v>14</v>
      </c>
      <c r="C865" t="s">
        <v>36</v>
      </c>
      <c r="D865">
        <v>2043</v>
      </c>
      <c r="E865" t="s">
        <v>26</v>
      </c>
      <c r="F865" t="s">
        <v>17</v>
      </c>
      <c r="G865" t="s">
        <v>31</v>
      </c>
      <c r="H865" s="1">
        <v>45359</v>
      </c>
      <c r="I865">
        <v>189.579319295538</v>
      </c>
      <c r="J865">
        <v>1</v>
      </c>
      <c r="K865">
        <v>189.579319295538</v>
      </c>
      <c r="L865">
        <v>56.873795788661603</v>
      </c>
      <c r="M865" t="s">
        <v>34</v>
      </c>
      <c r="N865">
        <f>Supermarket_Sales_Case_Study[[#This Row],[Sales_Amount]]-Supermarket_Sales_Case_Study[[#This Row],[Profit]]</f>
        <v>132.7055235068764</v>
      </c>
      <c r="O865" s="2">
        <f>(Supermarket_Sales_Case_Study[[#This Row],[Sales_Amount]]-Supermarket_Sales_Case_Study[[#This Row],[Purchase]])/Supermarket_Sales_Case_Study[[#This Row],[Sales_Amount]]</f>
        <v>0.30000000000000104</v>
      </c>
      <c r="P865">
        <f>Supermarket_Sales_Case_Study[[#This Row],[Quantity]]*Supermarket_Sales_Case_Study[[#This Row],[Sales_Amount]]</f>
        <v>189.579319295538</v>
      </c>
    </row>
    <row r="866" spans="1:16" x14ac:dyDescent="0.3">
      <c r="A866" t="s">
        <v>896</v>
      </c>
      <c r="B866" t="s">
        <v>14</v>
      </c>
      <c r="C866" t="s">
        <v>15</v>
      </c>
      <c r="D866">
        <v>1559</v>
      </c>
      <c r="E866" t="s">
        <v>16</v>
      </c>
      <c r="F866" t="s">
        <v>17</v>
      </c>
      <c r="G866" t="s">
        <v>33</v>
      </c>
      <c r="H866" s="1">
        <v>45337</v>
      </c>
      <c r="I866">
        <v>106.311837159356</v>
      </c>
      <c r="J866">
        <v>2</v>
      </c>
      <c r="K866">
        <v>212.62367431871201</v>
      </c>
      <c r="L866">
        <v>63.7871022956136</v>
      </c>
      <c r="M866" t="s">
        <v>19</v>
      </c>
      <c r="N866">
        <f>Supermarket_Sales_Case_Study[[#This Row],[Sales_Amount]]-Supermarket_Sales_Case_Study[[#This Row],[Profit]]</f>
        <v>148.8365720230984</v>
      </c>
      <c r="O866" s="2">
        <f>(Supermarket_Sales_Case_Study[[#This Row],[Sales_Amount]]-Supermarket_Sales_Case_Study[[#This Row],[Purchase]])/Supermarket_Sales_Case_Study[[#This Row],[Sales_Amount]]</f>
        <v>0.30000000000000004</v>
      </c>
      <c r="P866">
        <f>Supermarket_Sales_Case_Study[[#This Row],[Quantity]]*Supermarket_Sales_Case_Study[[#This Row],[Sales_Amount]]</f>
        <v>425.24734863742401</v>
      </c>
    </row>
    <row r="867" spans="1:16" x14ac:dyDescent="0.3">
      <c r="A867" t="s">
        <v>897</v>
      </c>
      <c r="B867" t="s">
        <v>14</v>
      </c>
      <c r="C867" t="s">
        <v>36</v>
      </c>
      <c r="D867">
        <v>1968</v>
      </c>
      <c r="E867" t="s">
        <v>16</v>
      </c>
      <c r="F867" t="s">
        <v>17</v>
      </c>
      <c r="G867" t="s">
        <v>33</v>
      </c>
      <c r="H867" s="1">
        <v>45369</v>
      </c>
      <c r="I867">
        <v>279.14953229783799</v>
      </c>
      <c r="J867">
        <v>7</v>
      </c>
      <c r="K867">
        <v>1954.04672608486</v>
      </c>
      <c r="L867">
        <v>586.21401782546002</v>
      </c>
      <c r="M867" t="s">
        <v>19</v>
      </c>
      <c r="N867">
        <f>Supermarket_Sales_Case_Study[[#This Row],[Sales_Amount]]-Supermarket_Sales_Case_Study[[#This Row],[Profit]]</f>
        <v>1367.8327082594001</v>
      </c>
      <c r="O867" s="2">
        <f>(Supermarket_Sales_Case_Study[[#This Row],[Sales_Amount]]-Supermarket_Sales_Case_Study[[#This Row],[Purchase]])/Supermarket_Sales_Case_Study[[#This Row],[Sales_Amount]]</f>
        <v>0.30000000000000099</v>
      </c>
      <c r="P867">
        <f>Supermarket_Sales_Case_Study[[#This Row],[Quantity]]*Supermarket_Sales_Case_Study[[#This Row],[Sales_Amount]]</f>
        <v>13678.32708259402</v>
      </c>
    </row>
    <row r="868" spans="1:16" x14ac:dyDescent="0.3">
      <c r="A868" t="s">
        <v>898</v>
      </c>
      <c r="B868" t="s">
        <v>21</v>
      </c>
      <c r="C868" t="s">
        <v>30</v>
      </c>
      <c r="D868">
        <v>2153</v>
      </c>
      <c r="E868" t="s">
        <v>26</v>
      </c>
      <c r="F868" t="s">
        <v>22</v>
      </c>
      <c r="G868" t="s">
        <v>28</v>
      </c>
      <c r="H868" s="1">
        <v>45304</v>
      </c>
      <c r="I868">
        <v>255.01007497199299</v>
      </c>
      <c r="J868">
        <v>6</v>
      </c>
      <c r="K868">
        <v>1530.0604498319601</v>
      </c>
      <c r="L868">
        <v>459.01813494958799</v>
      </c>
      <c r="M868" t="s">
        <v>19</v>
      </c>
      <c r="N868">
        <f>Supermarket_Sales_Case_Study[[#This Row],[Sales_Amount]]-Supermarket_Sales_Case_Study[[#This Row],[Profit]]</f>
        <v>1071.042314882372</v>
      </c>
      <c r="O868" s="2">
        <f>(Supermarket_Sales_Case_Study[[#This Row],[Sales_Amount]]-Supermarket_Sales_Case_Study[[#This Row],[Purchase]])/Supermarket_Sales_Case_Study[[#This Row],[Sales_Amount]]</f>
        <v>0.30000000000000004</v>
      </c>
      <c r="P868">
        <f>Supermarket_Sales_Case_Study[[#This Row],[Quantity]]*Supermarket_Sales_Case_Study[[#This Row],[Sales_Amount]]</f>
        <v>9180.3626989917611</v>
      </c>
    </row>
    <row r="869" spans="1:16" x14ac:dyDescent="0.3">
      <c r="A869" t="s">
        <v>899</v>
      </c>
      <c r="B869" t="s">
        <v>14</v>
      </c>
      <c r="C869" t="s">
        <v>15</v>
      </c>
      <c r="D869">
        <v>2316</v>
      </c>
      <c r="E869" t="s">
        <v>26</v>
      </c>
      <c r="F869" t="s">
        <v>22</v>
      </c>
      <c r="G869" t="s">
        <v>23</v>
      </c>
      <c r="H869" s="1">
        <v>45318</v>
      </c>
      <c r="I869">
        <v>74.954938300873494</v>
      </c>
      <c r="J869">
        <v>3</v>
      </c>
      <c r="K869">
        <v>224.86481490262</v>
      </c>
      <c r="L869">
        <v>67.459444470786096</v>
      </c>
      <c r="M869" t="s">
        <v>19</v>
      </c>
      <c r="N869">
        <f>Supermarket_Sales_Case_Study[[#This Row],[Sales_Amount]]-Supermarket_Sales_Case_Study[[#This Row],[Profit]]</f>
        <v>157.40537043183389</v>
      </c>
      <c r="O869" s="2">
        <f>(Supermarket_Sales_Case_Study[[#This Row],[Sales_Amount]]-Supermarket_Sales_Case_Study[[#This Row],[Purchase]])/Supermarket_Sales_Case_Study[[#This Row],[Sales_Amount]]</f>
        <v>0.30000000000000049</v>
      </c>
      <c r="P869">
        <f>Supermarket_Sales_Case_Study[[#This Row],[Quantity]]*Supermarket_Sales_Case_Study[[#This Row],[Sales_Amount]]</f>
        <v>674.59444470786002</v>
      </c>
    </row>
    <row r="870" spans="1:16" x14ac:dyDescent="0.3">
      <c r="A870" t="s">
        <v>900</v>
      </c>
      <c r="B870" t="s">
        <v>14</v>
      </c>
      <c r="C870" t="s">
        <v>30</v>
      </c>
      <c r="D870">
        <v>2155</v>
      </c>
      <c r="E870" t="s">
        <v>26</v>
      </c>
      <c r="F870" t="s">
        <v>22</v>
      </c>
      <c r="G870" t="s">
        <v>18</v>
      </c>
      <c r="H870" s="1">
        <v>45297</v>
      </c>
      <c r="I870">
        <v>79.351338176011694</v>
      </c>
      <c r="J870">
        <v>2</v>
      </c>
      <c r="K870">
        <v>158.70267635202299</v>
      </c>
      <c r="L870">
        <v>47.610802905607002</v>
      </c>
      <c r="M870" t="s">
        <v>19</v>
      </c>
      <c r="N870">
        <f>Supermarket_Sales_Case_Study[[#This Row],[Sales_Amount]]-Supermarket_Sales_Case_Study[[#This Row],[Profit]]</f>
        <v>111.09187344641599</v>
      </c>
      <c r="O870" s="2">
        <f>(Supermarket_Sales_Case_Study[[#This Row],[Sales_Amount]]-Supermarket_Sales_Case_Study[[#This Row],[Purchase]])/Supermarket_Sales_Case_Study[[#This Row],[Sales_Amount]]</f>
        <v>0.30000000000000066</v>
      </c>
      <c r="P870">
        <f>Supermarket_Sales_Case_Study[[#This Row],[Quantity]]*Supermarket_Sales_Case_Study[[#This Row],[Sales_Amount]]</f>
        <v>317.40535270404598</v>
      </c>
    </row>
    <row r="871" spans="1:16" x14ac:dyDescent="0.3">
      <c r="A871" t="s">
        <v>901</v>
      </c>
      <c r="B871" t="s">
        <v>14</v>
      </c>
      <c r="C871" t="s">
        <v>30</v>
      </c>
      <c r="D871">
        <v>1355</v>
      </c>
      <c r="E871" t="s">
        <v>16</v>
      </c>
      <c r="F871" t="s">
        <v>22</v>
      </c>
      <c r="G871" t="s">
        <v>28</v>
      </c>
      <c r="H871" s="1">
        <v>45308</v>
      </c>
      <c r="I871">
        <v>158.56710059725299</v>
      </c>
      <c r="J871">
        <v>4</v>
      </c>
      <c r="K871">
        <v>634.26840238901298</v>
      </c>
      <c r="L871">
        <v>190.28052071670399</v>
      </c>
      <c r="M871" t="s">
        <v>24</v>
      </c>
      <c r="N871">
        <f>Supermarket_Sales_Case_Study[[#This Row],[Sales_Amount]]-Supermarket_Sales_Case_Study[[#This Row],[Profit]]</f>
        <v>443.98788167230896</v>
      </c>
      <c r="O871" s="2">
        <f>(Supermarket_Sales_Case_Study[[#This Row],[Sales_Amount]]-Supermarket_Sales_Case_Study[[#This Row],[Purchase]])/Supermarket_Sales_Case_Study[[#This Row],[Sales_Amount]]</f>
        <v>0.30000000000000021</v>
      </c>
      <c r="P871">
        <f>Supermarket_Sales_Case_Study[[#This Row],[Quantity]]*Supermarket_Sales_Case_Study[[#This Row],[Sales_Amount]]</f>
        <v>2537.0736095560519</v>
      </c>
    </row>
    <row r="872" spans="1:16" x14ac:dyDescent="0.3">
      <c r="A872" t="s">
        <v>902</v>
      </c>
      <c r="B872" t="s">
        <v>14</v>
      </c>
      <c r="C872" t="s">
        <v>36</v>
      </c>
      <c r="D872">
        <v>2077</v>
      </c>
      <c r="E872" t="s">
        <v>26</v>
      </c>
      <c r="F872" t="s">
        <v>22</v>
      </c>
      <c r="G872" t="s">
        <v>18</v>
      </c>
      <c r="H872" s="1">
        <v>45327</v>
      </c>
      <c r="I872">
        <v>234.33590950190799</v>
      </c>
      <c r="J872">
        <v>3</v>
      </c>
      <c r="K872">
        <v>703.00772850572605</v>
      </c>
      <c r="L872">
        <v>210.902318551718</v>
      </c>
      <c r="M872" t="s">
        <v>24</v>
      </c>
      <c r="N872">
        <f>Supermarket_Sales_Case_Study[[#This Row],[Sales_Amount]]-Supermarket_Sales_Case_Study[[#This Row],[Profit]]</f>
        <v>492.10540995400805</v>
      </c>
      <c r="O872" s="2">
        <f>(Supermarket_Sales_Case_Study[[#This Row],[Sales_Amount]]-Supermarket_Sales_Case_Study[[#This Row],[Purchase]])/Supermarket_Sales_Case_Study[[#This Row],[Sales_Amount]]</f>
        <v>0.30000000000000027</v>
      </c>
      <c r="P872">
        <f>Supermarket_Sales_Case_Study[[#This Row],[Quantity]]*Supermarket_Sales_Case_Study[[#This Row],[Sales_Amount]]</f>
        <v>2109.0231855171783</v>
      </c>
    </row>
    <row r="873" spans="1:16" x14ac:dyDescent="0.3">
      <c r="A873" t="s">
        <v>903</v>
      </c>
      <c r="B873" t="s">
        <v>39</v>
      </c>
      <c r="C873" t="s">
        <v>15</v>
      </c>
      <c r="D873">
        <v>1889</v>
      </c>
      <c r="E873" t="s">
        <v>26</v>
      </c>
      <c r="F873" t="s">
        <v>17</v>
      </c>
      <c r="G873" t="s">
        <v>23</v>
      </c>
      <c r="H873" s="1">
        <v>45372</v>
      </c>
      <c r="I873">
        <v>22.771710022654599</v>
      </c>
      <c r="J873">
        <v>7</v>
      </c>
      <c r="K873">
        <v>159.401970158582</v>
      </c>
      <c r="L873">
        <v>47.820591047574801</v>
      </c>
      <c r="M873" t="s">
        <v>19</v>
      </c>
      <c r="N873">
        <f>Supermarket_Sales_Case_Study[[#This Row],[Sales_Amount]]-Supermarket_Sales_Case_Study[[#This Row],[Profit]]</f>
        <v>111.58137911100721</v>
      </c>
      <c r="O873" s="2">
        <f>(Supermarket_Sales_Case_Study[[#This Row],[Sales_Amount]]-Supermarket_Sales_Case_Study[[#This Row],[Purchase]])/Supermarket_Sales_Case_Study[[#This Row],[Sales_Amount]]</f>
        <v>0.30000000000000121</v>
      </c>
      <c r="P873">
        <f>Supermarket_Sales_Case_Study[[#This Row],[Quantity]]*Supermarket_Sales_Case_Study[[#This Row],[Sales_Amount]]</f>
        <v>1115.8137911100739</v>
      </c>
    </row>
    <row r="874" spans="1:16" x14ac:dyDescent="0.3">
      <c r="A874" t="s">
        <v>904</v>
      </c>
      <c r="B874" t="s">
        <v>21</v>
      </c>
      <c r="C874" t="s">
        <v>15</v>
      </c>
      <c r="D874">
        <v>1792</v>
      </c>
      <c r="E874" t="s">
        <v>26</v>
      </c>
      <c r="F874" t="s">
        <v>17</v>
      </c>
      <c r="G874" t="s">
        <v>33</v>
      </c>
      <c r="H874" s="1">
        <v>45293</v>
      </c>
      <c r="I874">
        <v>211.06719458306401</v>
      </c>
      <c r="J874">
        <v>8</v>
      </c>
      <c r="K874">
        <v>1688.53755666451</v>
      </c>
      <c r="L874">
        <v>506.56126699935498</v>
      </c>
      <c r="M874" t="s">
        <v>24</v>
      </c>
      <c r="N874">
        <f>Supermarket_Sales_Case_Study[[#This Row],[Sales_Amount]]-Supermarket_Sales_Case_Study[[#This Row],[Profit]]</f>
        <v>1181.976289665155</v>
      </c>
      <c r="O874" s="2">
        <f>(Supermarket_Sales_Case_Study[[#This Row],[Sales_Amount]]-Supermarket_Sales_Case_Study[[#This Row],[Purchase]])/Supermarket_Sales_Case_Study[[#This Row],[Sales_Amount]]</f>
        <v>0.30000000000000115</v>
      </c>
      <c r="P874">
        <f>Supermarket_Sales_Case_Study[[#This Row],[Quantity]]*Supermarket_Sales_Case_Study[[#This Row],[Sales_Amount]]</f>
        <v>13508.30045331608</v>
      </c>
    </row>
    <row r="875" spans="1:16" x14ac:dyDescent="0.3">
      <c r="A875" t="s">
        <v>905</v>
      </c>
      <c r="B875" t="s">
        <v>14</v>
      </c>
      <c r="C875" t="s">
        <v>36</v>
      </c>
      <c r="D875">
        <v>2410</v>
      </c>
      <c r="E875" t="s">
        <v>16</v>
      </c>
      <c r="F875" t="s">
        <v>17</v>
      </c>
      <c r="G875" t="s">
        <v>18</v>
      </c>
      <c r="H875" s="1">
        <v>45368</v>
      </c>
      <c r="I875">
        <v>197.98841024080801</v>
      </c>
      <c r="J875">
        <v>2</v>
      </c>
      <c r="K875">
        <v>395.97682048161602</v>
      </c>
      <c r="L875">
        <v>118.79304614448399</v>
      </c>
      <c r="M875" t="s">
        <v>34</v>
      </c>
      <c r="N875">
        <f>Supermarket_Sales_Case_Study[[#This Row],[Sales_Amount]]-Supermarket_Sales_Case_Study[[#This Row],[Profit]]</f>
        <v>277.18377433713204</v>
      </c>
      <c r="O875" s="2">
        <f>(Supermarket_Sales_Case_Study[[#This Row],[Sales_Amount]]-Supermarket_Sales_Case_Study[[#This Row],[Purchase]])/Supermarket_Sales_Case_Study[[#This Row],[Sales_Amount]]</f>
        <v>0.29999999999999793</v>
      </c>
      <c r="P875">
        <f>Supermarket_Sales_Case_Study[[#This Row],[Quantity]]*Supermarket_Sales_Case_Study[[#This Row],[Sales_Amount]]</f>
        <v>791.95364096323203</v>
      </c>
    </row>
    <row r="876" spans="1:16" x14ac:dyDescent="0.3">
      <c r="A876" t="s">
        <v>906</v>
      </c>
      <c r="B876" t="s">
        <v>14</v>
      </c>
      <c r="C876" t="s">
        <v>30</v>
      </c>
      <c r="D876">
        <v>1264</v>
      </c>
      <c r="E876" t="s">
        <v>16</v>
      </c>
      <c r="F876" t="s">
        <v>17</v>
      </c>
      <c r="G876" t="s">
        <v>31</v>
      </c>
      <c r="H876" s="1">
        <v>45343</v>
      </c>
      <c r="I876">
        <v>77.129227814766594</v>
      </c>
      <c r="J876">
        <v>7</v>
      </c>
      <c r="K876">
        <v>539.904594703366</v>
      </c>
      <c r="L876">
        <v>161.971378411009</v>
      </c>
      <c r="M876" t="s">
        <v>19</v>
      </c>
      <c r="N876">
        <f>Supermarket_Sales_Case_Study[[#This Row],[Sales_Amount]]-Supermarket_Sales_Case_Study[[#This Row],[Profit]]</f>
        <v>377.93321629235697</v>
      </c>
      <c r="O876" s="2">
        <f>(Supermarket_Sales_Case_Study[[#This Row],[Sales_Amount]]-Supermarket_Sales_Case_Study[[#This Row],[Purchase]])/Supermarket_Sales_Case_Study[[#This Row],[Sales_Amount]]</f>
        <v>0.29999999999999855</v>
      </c>
      <c r="P876">
        <f>Supermarket_Sales_Case_Study[[#This Row],[Quantity]]*Supermarket_Sales_Case_Study[[#This Row],[Sales_Amount]]</f>
        <v>3779.332162923562</v>
      </c>
    </row>
    <row r="877" spans="1:16" x14ac:dyDescent="0.3">
      <c r="A877" t="s">
        <v>907</v>
      </c>
      <c r="B877" t="s">
        <v>14</v>
      </c>
      <c r="C877" t="s">
        <v>30</v>
      </c>
      <c r="D877">
        <v>1981</v>
      </c>
      <c r="E877" t="s">
        <v>26</v>
      </c>
      <c r="F877" t="s">
        <v>22</v>
      </c>
      <c r="G877" t="s">
        <v>31</v>
      </c>
      <c r="H877" s="1">
        <v>45357</v>
      </c>
      <c r="I877">
        <v>207.59237383999101</v>
      </c>
      <c r="J877">
        <v>8</v>
      </c>
      <c r="K877">
        <v>1660.7389907199199</v>
      </c>
      <c r="L877">
        <v>498.221697215978</v>
      </c>
      <c r="M877" t="s">
        <v>34</v>
      </c>
      <c r="N877">
        <f>Supermarket_Sales_Case_Study[[#This Row],[Sales_Amount]]-Supermarket_Sales_Case_Study[[#This Row],[Profit]]</f>
        <v>1162.5172935039418</v>
      </c>
      <c r="O877" s="2">
        <f>(Supermarket_Sales_Case_Study[[#This Row],[Sales_Amount]]-Supermarket_Sales_Case_Study[[#This Row],[Purchase]])/Supermarket_Sales_Case_Study[[#This Row],[Sales_Amount]]</f>
        <v>0.30000000000000127</v>
      </c>
      <c r="P877">
        <f>Supermarket_Sales_Case_Study[[#This Row],[Quantity]]*Supermarket_Sales_Case_Study[[#This Row],[Sales_Amount]]</f>
        <v>13285.911925759359</v>
      </c>
    </row>
    <row r="878" spans="1:16" x14ac:dyDescent="0.3">
      <c r="A878" t="s">
        <v>908</v>
      </c>
      <c r="B878" t="s">
        <v>21</v>
      </c>
      <c r="C878" t="s">
        <v>30</v>
      </c>
      <c r="D878">
        <v>2238</v>
      </c>
      <c r="E878" t="s">
        <v>26</v>
      </c>
      <c r="F878" t="s">
        <v>22</v>
      </c>
      <c r="G878" t="s">
        <v>28</v>
      </c>
      <c r="H878" s="1">
        <v>45343</v>
      </c>
      <c r="I878">
        <v>282.65312546310298</v>
      </c>
      <c r="J878">
        <v>6</v>
      </c>
      <c r="K878">
        <v>1695.91875277862</v>
      </c>
      <c r="L878">
        <v>508.77562583358701</v>
      </c>
      <c r="M878" t="s">
        <v>34</v>
      </c>
      <c r="N878">
        <f>Supermarket_Sales_Case_Study[[#This Row],[Sales_Amount]]-Supermarket_Sales_Case_Study[[#This Row],[Profit]]</f>
        <v>1187.1431269450331</v>
      </c>
      <c r="O878" s="2">
        <f>(Supermarket_Sales_Case_Study[[#This Row],[Sales_Amount]]-Supermarket_Sales_Case_Study[[#This Row],[Purchase]])/Supermarket_Sales_Case_Study[[#This Row],[Sales_Amount]]</f>
        <v>0.30000000000000054</v>
      </c>
      <c r="P878">
        <f>Supermarket_Sales_Case_Study[[#This Row],[Quantity]]*Supermarket_Sales_Case_Study[[#This Row],[Sales_Amount]]</f>
        <v>10175.512516671721</v>
      </c>
    </row>
    <row r="879" spans="1:16" x14ac:dyDescent="0.3">
      <c r="A879" t="s">
        <v>909</v>
      </c>
      <c r="B879" t="s">
        <v>39</v>
      </c>
      <c r="C879" t="s">
        <v>30</v>
      </c>
      <c r="D879">
        <v>2483</v>
      </c>
      <c r="E879" t="s">
        <v>16</v>
      </c>
      <c r="F879" t="s">
        <v>17</v>
      </c>
      <c r="G879" t="s">
        <v>23</v>
      </c>
      <c r="H879" s="1">
        <v>45334</v>
      </c>
      <c r="I879">
        <v>23.5678950418128</v>
      </c>
      <c r="J879">
        <v>6</v>
      </c>
      <c r="K879">
        <v>141.40737025087699</v>
      </c>
      <c r="L879">
        <v>42.4222110752631</v>
      </c>
      <c r="M879" t="s">
        <v>19</v>
      </c>
      <c r="N879">
        <f>Supermarket_Sales_Case_Study[[#This Row],[Sales_Amount]]-Supermarket_Sales_Case_Study[[#This Row],[Profit]]</f>
        <v>98.985159175613887</v>
      </c>
      <c r="O879" s="2">
        <f>(Supermarket_Sales_Case_Study[[#This Row],[Sales_Amount]]-Supermarket_Sales_Case_Study[[#This Row],[Purchase]])/Supermarket_Sales_Case_Study[[#This Row],[Sales_Amount]]</f>
        <v>0.30000000000000004</v>
      </c>
      <c r="P879">
        <f>Supermarket_Sales_Case_Study[[#This Row],[Quantity]]*Supermarket_Sales_Case_Study[[#This Row],[Sales_Amount]]</f>
        <v>848.44422150526202</v>
      </c>
    </row>
    <row r="880" spans="1:16" x14ac:dyDescent="0.3">
      <c r="A880" t="s">
        <v>910</v>
      </c>
      <c r="B880" t="s">
        <v>21</v>
      </c>
      <c r="C880" t="s">
        <v>15</v>
      </c>
      <c r="D880">
        <v>2481</v>
      </c>
      <c r="E880" t="s">
        <v>16</v>
      </c>
      <c r="F880" t="s">
        <v>22</v>
      </c>
      <c r="G880" t="s">
        <v>28</v>
      </c>
      <c r="H880" s="1">
        <v>45381</v>
      </c>
      <c r="I880">
        <v>102.699096034698</v>
      </c>
      <c r="J880">
        <v>1</v>
      </c>
      <c r="K880">
        <v>102.699096034698</v>
      </c>
      <c r="L880">
        <v>30.8097288104094</v>
      </c>
      <c r="M880" t="s">
        <v>34</v>
      </c>
      <c r="N880">
        <f>Supermarket_Sales_Case_Study[[#This Row],[Sales_Amount]]-Supermarket_Sales_Case_Study[[#This Row],[Profit]]</f>
        <v>71.889367224288605</v>
      </c>
      <c r="O880" s="2">
        <f>(Supermarket_Sales_Case_Study[[#This Row],[Sales_Amount]]-Supermarket_Sales_Case_Study[[#This Row],[Purchase]])/Supermarket_Sales_Case_Study[[#This Row],[Sales_Amount]]</f>
        <v>0.29999999999999993</v>
      </c>
      <c r="P880">
        <f>Supermarket_Sales_Case_Study[[#This Row],[Quantity]]*Supermarket_Sales_Case_Study[[#This Row],[Sales_Amount]]</f>
        <v>102.699096034698</v>
      </c>
    </row>
    <row r="881" spans="1:16" x14ac:dyDescent="0.3">
      <c r="A881" t="s">
        <v>911</v>
      </c>
      <c r="B881" t="s">
        <v>39</v>
      </c>
      <c r="C881" t="s">
        <v>15</v>
      </c>
      <c r="D881">
        <v>1801</v>
      </c>
      <c r="E881" t="s">
        <v>16</v>
      </c>
      <c r="F881" t="s">
        <v>22</v>
      </c>
      <c r="G881" t="s">
        <v>28</v>
      </c>
      <c r="H881" s="1">
        <v>45313</v>
      </c>
      <c r="I881">
        <v>137.07124783324301</v>
      </c>
      <c r="J881">
        <v>4</v>
      </c>
      <c r="K881">
        <v>548.28499133297203</v>
      </c>
      <c r="L881">
        <v>164.48549739989099</v>
      </c>
      <c r="M881" t="s">
        <v>34</v>
      </c>
      <c r="N881">
        <f>Supermarket_Sales_Case_Study[[#This Row],[Sales_Amount]]-Supermarket_Sales_Case_Study[[#This Row],[Profit]]</f>
        <v>383.79949393308107</v>
      </c>
      <c r="O881" s="2">
        <f>(Supermarket_Sales_Case_Study[[#This Row],[Sales_Amount]]-Supermarket_Sales_Case_Study[[#This Row],[Purchase]])/Supermarket_Sales_Case_Study[[#This Row],[Sales_Amount]]</f>
        <v>0.29999999999999882</v>
      </c>
      <c r="P881">
        <f>Supermarket_Sales_Case_Study[[#This Row],[Quantity]]*Supermarket_Sales_Case_Study[[#This Row],[Sales_Amount]]</f>
        <v>2193.1399653318881</v>
      </c>
    </row>
    <row r="882" spans="1:16" x14ac:dyDescent="0.3">
      <c r="A882" t="s">
        <v>912</v>
      </c>
      <c r="B882" t="s">
        <v>14</v>
      </c>
      <c r="C882" t="s">
        <v>36</v>
      </c>
      <c r="D882">
        <v>1042</v>
      </c>
      <c r="E882" t="s">
        <v>16</v>
      </c>
      <c r="F882" t="s">
        <v>17</v>
      </c>
      <c r="G882" t="s">
        <v>37</v>
      </c>
      <c r="H882" s="1">
        <v>45346</v>
      </c>
      <c r="I882">
        <v>270.78550408816</v>
      </c>
      <c r="J882">
        <v>1</v>
      </c>
      <c r="K882">
        <v>270.78550408816</v>
      </c>
      <c r="L882">
        <v>81.235651226447999</v>
      </c>
      <c r="M882" t="s">
        <v>34</v>
      </c>
      <c r="N882">
        <f>Supermarket_Sales_Case_Study[[#This Row],[Sales_Amount]]-Supermarket_Sales_Case_Study[[#This Row],[Profit]]</f>
        <v>189.549852861712</v>
      </c>
      <c r="O882" s="2">
        <f>(Supermarket_Sales_Case_Study[[#This Row],[Sales_Amount]]-Supermarket_Sales_Case_Study[[#This Row],[Purchase]])/Supermarket_Sales_Case_Study[[#This Row],[Sales_Amount]]</f>
        <v>0.3</v>
      </c>
      <c r="P882">
        <f>Supermarket_Sales_Case_Study[[#This Row],[Quantity]]*Supermarket_Sales_Case_Study[[#This Row],[Sales_Amount]]</f>
        <v>270.78550408816</v>
      </c>
    </row>
    <row r="883" spans="1:16" x14ac:dyDescent="0.3">
      <c r="A883" t="s">
        <v>913</v>
      </c>
      <c r="B883" t="s">
        <v>14</v>
      </c>
      <c r="C883" t="s">
        <v>36</v>
      </c>
      <c r="D883">
        <v>1861</v>
      </c>
      <c r="E883" t="s">
        <v>16</v>
      </c>
      <c r="F883" t="s">
        <v>17</v>
      </c>
      <c r="G883" t="s">
        <v>28</v>
      </c>
      <c r="H883" s="1">
        <v>45358</v>
      </c>
      <c r="I883">
        <v>289.05581951665499</v>
      </c>
      <c r="J883">
        <v>4</v>
      </c>
      <c r="K883">
        <v>1156.22327806662</v>
      </c>
      <c r="L883">
        <v>346.86698341998601</v>
      </c>
      <c r="M883" t="s">
        <v>19</v>
      </c>
      <c r="N883">
        <f>Supermarket_Sales_Case_Study[[#This Row],[Sales_Amount]]-Supermarket_Sales_Case_Study[[#This Row],[Profit]]</f>
        <v>809.35629464663396</v>
      </c>
      <c r="O883" s="2">
        <f>(Supermarket_Sales_Case_Study[[#This Row],[Sales_Amount]]-Supermarket_Sales_Case_Study[[#This Row],[Purchase]])/Supermarket_Sales_Case_Study[[#This Row],[Sales_Amount]]</f>
        <v>0.30000000000000004</v>
      </c>
      <c r="P883">
        <f>Supermarket_Sales_Case_Study[[#This Row],[Quantity]]*Supermarket_Sales_Case_Study[[#This Row],[Sales_Amount]]</f>
        <v>4624.8931122664799</v>
      </c>
    </row>
    <row r="884" spans="1:16" x14ac:dyDescent="0.3">
      <c r="A884" t="s">
        <v>914</v>
      </c>
      <c r="B884" t="s">
        <v>21</v>
      </c>
      <c r="C884" t="s">
        <v>15</v>
      </c>
      <c r="D884">
        <v>2301</v>
      </c>
      <c r="E884" t="s">
        <v>16</v>
      </c>
      <c r="F884" t="s">
        <v>22</v>
      </c>
      <c r="G884" t="s">
        <v>37</v>
      </c>
      <c r="H884" s="1">
        <v>45351</v>
      </c>
      <c r="I884">
        <v>138.79342148393599</v>
      </c>
      <c r="J884">
        <v>2</v>
      </c>
      <c r="K884">
        <v>277.58684296787197</v>
      </c>
      <c r="L884">
        <v>83.276052890361797</v>
      </c>
      <c r="M884" t="s">
        <v>19</v>
      </c>
      <c r="N884">
        <f>Supermarket_Sales_Case_Study[[#This Row],[Sales_Amount]]-Supermarket_Sales_Case_Study[[#This Row],[Profit]]</f>
        <v>194.31079007751018</v>
      </c>
      <c r="O884" s="2">
        <f>(Supermarket_Sales_Case_Study[[#This Row],[Sales_Amount]]-Supermarket_Sales_Case_Study[[#This Row],[Purchase]])/Supermarket_Sales_Case_Study[[#This Row],[Sales_Amount]]</f>
        <v>0.30000000000000071</v>
      </c>
      <c r="P884">
        <f>Supermarket_Sales_Case_Study[[#This Row],[Quantity]]*Supermarket_Sales_Case_Study[[#This Row],[Sales_Amount]]</f>
        <v>555.17368593574395</v>
      </c>
    </row>
    <row r="885" spans="1:16" x14ac:dyDescent="0.3">
      <c r="A885" t="s">
        <v>915</v>
      </c>
      <c r="B885" t="s">
        <v>21</v>
      </c>
      <c r="C885" t="s">
        <v>15</v>
      </c>
      <c r="D885">
        <v>2153</v>
      </c>
      <c r="E885" t="s">
        <v>16</v>
      </c>
      <c r="F885" t="s">
        <v>22</v>
      </c>
      <c r="G885" t="s">
        <v>31</v>
      </c>
      <c r="H885" s="1">
        <v>45349</v>
      </c>
      <c r="I885">
        <v>227.508239521235</v>
      </c>
      <c r="J885">
        <v>5</v>
      </c>
      <c r="K885">
        <v>1137.54119760617</v>
      </c>
      <c r="L885">
        <v>341.26235928185298</v>
      </c>
      <c r="M885" t="s">
        <v>34</v>
      </c>
      <c r="N885">
        <f>Supermarket_Sales_Case_Study[[#This Row],[Sales_Amount]]-Supermarket_Sales_Case_Study[[#This Row],[Profit]]</f>
        <v>796.27883832431712</v>
      </c>
      <c r="O885" s="2">
        <f>(Supermarket_Sales_Case_Study[[#This Row],[Sales_Amount]]-Supermarket_Sales_Case_Study[[#This Row],[Purchase]])/Supermarket_Sales_Case_Study[[#This Row],[Sales_Amount]]</f>
        <v>0.30000000000000165</v>
      </c>
      <c r="P885">
        <f>Supermarket_Sales_Case_Study[[#This Row],[Quantity]]*Supermarket_Sales_Case_Study[[#This Row],[Sales_Amount]]</f>
        <v>5687.7059880308498</v>
      </c>
    </row>
    <row r="886" spans="1:16" x14ac:dyDescent="0.3">
      <c r="A886" t="s">
        <v>916</v>
      </c>
      <c r="B886" t="s">
        <v>39</v>
      </c>
      <c r="C886" t="s">
        <v>30</v>
      </c>
      <c r="D886">
        <v>1349</v>
      </c>
      <c r="E886" t="s">
        <v>16</v>
      </c>
      <c r="F886" t="s">
        <v>17</v>
      </c>
      <c r="G886" t="s">
        <v>31</v>
      </c>
      <c r="H886" s="1">
        <v>45303</v>
      </c>
      <c r="I886">
        <v>164.1816968917</v>
      </c>
      <c r="J886">
        <v>9</v>
      </c>
      <c r="K886">
        <v>1477.6352720253001</v>
      </c>
      <c r="L886">
        <v>443.29058160759001</v>
      </c>
      <c r="M886" t="s">
        <v>19</v>
      </c>
      <c r="N886">
        <f>Supermarket_Sales_Case_Study[[#This Row],[Sales_Amount]]-Supermarket_Sales_Case_Study[[#This Row],[Profit]]</f>
        <v>1034.3446904177101</v>
      </c>
      <c r="O886" s="2">
        <f>(Supermarket_Sales_Case_Study[[#This Row],[Sales_Amount]]-Supermarket_Sales_Case_Study[[#This Row],[Purchase]])/Supermarket_Sales_Case_Study[[#This Row],[Sales_Amount]]</f>
        <v>0.29999999999999993</v>
      </c>
      <c r="P886">
        <f>Supermarket_Sales_Case_Study[[#This Row],[Quantity]]*Supermarket_Sales_Case_Study[[#This Row],[Sales_Amount]]</f>
        <v>13298.717448227701</v>
      </c>
    </row>
    <row r="887" spans="1:16" x14ac:dyDescent="0.3">
      <c r="A887" t="s">
        <v>917</v>
      </c>
      <c r="B887" t="s">
        <v>39</v>
      </c>
      <c r="C887" t="s">
        <v>30</v>
      </c>
      <c r="D887">
        <v>2129</v>
      </c>
      <c r="E887" t="s">
        <v>16</v>
      </c>
      <c r="F887" t="s">
        <v>17</v>
      </c>
      <c r="G887" t="s">
        <v>28</v>
      </c>
      <c r="H887" s="1">
        <v>45379</v>
      </c>
      <c r="I887">
        <v>165.95705107499899</v>
      </c>
      <c r="J887">
        <v>3</v>
      </c>
      <c r="K887">
        <v>497.87115322499699</v>
      </c>
      <c r="L887">
        <v>149.36134596749901</v>
      </c>
      <c r="M887" t="s">
        <v>19</v>
      </c>
      <c r="N887">
        <f>Supermarket_Sales_Case_Study[[#This Row],[Sales_Amount]]-Supermarket_Sales_Case_Study[[#This Row],[Profit]]</f>
        <v>348.50980725749798</v>
      </c>
      <c r="O887" s="2">
        <f>(Supermarket_Sales_Case_Study[[#This Row],[Sales_Amount]]-Supermarket_Sales_Case_Study[[#This Row],[Purchase]])/Supermarket_Sales_Case_Study[[#This Row],[Sales_Amount]]</f>
        <v>0.29999999999999982</v>
      </c>
      <c r="P887">
        <f>Supermarket_Sales_Case_Study[[#This Row],[Quantity]]*Supermarket_Sales_Case_Study[[#This Row],[Sales_Amount]]</f>
        <v>1493.613459674991</v>
      </c>
    </row>
    <row r="888" spans="1:16" x14ac:dyDescent="0.3">
      <c r="A888" t="s">
        <v>918</v>
      </c>
      <c r="B888" t="s">
        <v>21</v>
      </c>
      <c r="C888" t="s">
        <v>36</v>
      </c>
      <c r="D888">
        <v>1911</v>
      </c>
      <c r="E888" t="s">
        <v>26</v>
      </c>
      <c r="F888" t="s">
        <v>17</v>
      </c>
      <c r="G888" t="s">
        <v>31</v>
      </c>
      <c r="H888" s="1">
        <v>45360</v>
      </c>
      <c r="I888">
        <v>90.648859369243297</v>
      </c>
      <c r="J888">
        <v>8</v>
      </c>
      <c r="K888">
        <v>725.19087495394695</v>
      </c>
      <c r="L888">
        <v>217.55726248618399</v>
      </c>
      <c r="M888" t="s">
        <v>34</v>
      </c>
      <c r="N888">
        <f>Supermarket_Sales_Case_Study[[#This Row],[Sales_Amount]]-Supermarket_Sales_Case_Study[[#This Row],[Profit]]</f>
        <v>507.63361246776299</v>
      </c>
      <c r="O888" s="2">
        <f>(Supermarket_Sales_Case_Study[[#This Row],[Sales_Amount]]-Supermarket_Sales_Case_Study[[#This Row],[Purchase]])/Supermarket_Sales_Case_Study[[#This Row],[Sales_Amount]]</f>
        <v>0.29999999999999982</v>
      </c>
      <c r="P888">
        <f>Supermarket_Sales_Case_Study[[#This Row],[Quantity]]*Supermarket_Sales_Case_Study[[#This Row],[Sales_Amount]]</f>
        <v>5801.5269996315756</v>
      </c>
    </row>
    <row r="889" spans="1:16" x14ac:dyDescent="0.3">
      <c r="A889" t="s">
        <v>919</v>
      </c>
      <c r="B889" t="s">
        <v>39</v>
      </c>
      <c r="C889" t="s">
        <v>15</v>
      </c>
      <c r="D889">
        <v>1000</v>
      </c>
      <c r="E889" t="s">
        <v>26</v>
      </c>
      <c r="F889" t="s">
        <v>22</v>
      </c>
      <c r="G889" t="s">
        <v>23</v>
      </c>
      <c r="H889" s="1">
        <v>45375</v>
      </c>
      <c r="I889">
        <v>72.917311300525</v>
      </c>
      <c r="J889">
        <v>3</v>
      </c>
      <c r="K889">
        <v>218.751933901575</v>
      </c>
      <c r="L889">
        <v>65.625580170472503</v>
      </c>
      <c r="M889" t="s">
        <v>19</v>
      </c>
      <c r="N889">
        <f>Supermarket_Sales_Case_Study[[#This Row],[Sales_Amount]]-Supermarket_Sales_Case_Study[[#This Row],[Profit]]</f>
        <v>153.12635373110248</v>
      </c>
      <c r="O889" s="2">
        <f>(Supermarket_Sales_Case_Study[[#This Row],[Sales_Amount]]-Supermarket_Sales_Case_Study[[#This Row],[Purchase]])/Supermarket_Sales_Case_Study[[#This Row],[Sales_Amount]]</f>
        <v>0.3000000000000001</v>
      </c>
      <c r="P889">
        <f>Supermarket_Sales_Case_Study[[#This Row],[Quantity]]*Supermarket_Sales_Case_Study[[#This Row],[Sales_Amount]]</f>
        <v>656.25580170472495</v>
      </c>
    </row>
    <row r="890" spans="1:16" x14ac:dyDescent="0.3">
      <c r="A890" t="s">
        <v>920</v>
      </c>
      <c r="B890" t="s">
        <v>21</v>
      </c>
      <c r="C890" t="s">
        <v>36</v>
      </c>
      <c r="D890">
        <v>1583</v>
      </c>
      <c r="E890" t="s">
        <v>26</v>
      </c>
      <c r="F890" t="s">
        <v>17</v>
      </c>
      <c r="G890" t="s">
        <v>37</v>
      </c>
      <c r="H890" s="1">
        <v>45330</v>
      </c>
      <c r="I890">
        <v>93.521550317971901</v>
      </c>
      <c r="J890">
        <v>6</v>
      </c>
      <c r="K890">
        <v>561.12930190783095</v>
      </c>
      <c r="L890">
        <v>168.33879057234901</v>
      </c>
      <c r="M890" t="s">
        <v>24</v>
      </c>
      <c r="N890">
        <f>Supermarket_Sales_Case_Study[[#This Row],[Sales_Amount]]-Supermarket_Sales_Case_Study[[#This Row],[Profit]]</f>
        <v>392.79051133548194</v>
      </c>
      <c r="O890" s="2">
        <f>(Supermarket_Sales_Case_Study[[#This Row],[Sales_Amount]]-Supermarket_Sales_Case_Study[[#This Row],[Purchase]])/Supermarket_Sales_Case_Study[[#This Row],[Sales_Amount]]</f>
        <v>0.29999999999999949</v>
      </c>
      <c r="P890">
        <f>Supermarket_Sales_Case_Study[[#This Row],[Quantity]]*Supermarket_Sales_Case_Study[[#This Row],[Sales_Amount]]</f>
        <v>3366.7758114469857</v>
      </c>
    </row>
    <row r="891" spans="1:16" x14ac:dyDescent="0.3">
      <c r="A891" t="s">
        <v>921</v>
      </c>
      <c r="B891" t="s">
        <v>39</v>
      </c>
      <c r="C891" t="s">
        <v>15</v>
      </c>
      <c r="D891">
        <v>1431</v>
      </c>
      <c r="E891" t="s">
        <v>16</v>
      </c>
      <c r="F891" t="s">
        <v>17</v>
      </c>
      <c r="G891" t="s">
        <v>37</v>
      </c>
      <c r="H891" s="1">
        <v>45304</v>
      </c>
      <c r="I891">
        <v>171.33512210455299</v>
      </c>
      <c r="J891">
        <v>4</v>
      </c>
      <c r="K891">
        <v>685.34048841821198</v>
      </c>
      <c r="L891">
        <v>205.60214652546301</v>
      </c>
      <c r="M891" t="s">
        <v>19</v>
      </c>
      <c r="N891">
        <f>Supermarket_Sales_Case_Study[[#This Row],[Sales_Amount]]-Supermarket_Sales_Case_Study[[#This Row],[Profit]]</f>
        <v>479.73834189274896</v>
      </c>
      <c r="O891" s="2">
        <f>(Supermarket_Sales_Case_Study[[#This Row],[Sales_Amount]]-Supermarket_Sales_Case_Study[[#This Row],[Purchase]])/Supermarket_Sales_Case_Study[[#This Row],[Sales_Amount]]</f>
        <v>0.29999999999999916</v>
      </c>
      <c r="P891">
        <f>Supermarket_Sales_Case_Study[[#This Row],[Quantity]]*Supermarket_Sales_Case_Study[[#This Row],[Sales_Amount]]</f>
        <v>2741.3619536728479</v>
      </c>
    </row>
    <row r="892" spans="1:16" x14ac:dyDescent="0.3">
      <c r="A892" t="s">
        <v>922</v>
      </c>
      <c r="B892" t="s">
        <v>21</v>
      </c>
      <c r="C892" t="s">
        <v>30</v>
      </c>
      <c r="D892">
        <v>2329</v>
      </c>
      <c r="E892" t="s">
        <v>26</v>
      </c>
      <c r="F892" t="s">
        <v>22</v>
      </c>
      <c r="G892" t="s">
        <v>28</v>
      </c>
      <c r="H892" s="1">
        <v>45332</v>
      </c>
      <c r="I892">
        <v>18.4550039464058</v>
      </c>
      <c r="J892">
        <v>8</v>
      </c>
      <c r="K892">
        <v>147.640031571246</v>
      </c>
      <c r="L892">
        <v>44.292009471373902</v>
      </c>
      <c r="M892" t="s">
        <v>24</v>
      </c>
      <c r="N892">
        <f>Supermarket_Sales_Case_Study[[#This Row],[Sales_Amount]]-Supermarket_Sales_Case_Study[[#This Row],[Profit]]</f>
        <v>103.3480220998721</v>
      </c>
      <c r="O892" s="2">
        <f>(Supermarket_Sales_Case_Study[[#This Row],[Sales_Amount]]-Supermarket_Sales_Case_Study[[#This Row],[Purchase]])/Supermarket_Sales_Case_Study[[#This Row],[Sales_Amount]]</f>
        <v>0.30000000000000071</v>
      </c>
      <c r="P892">
        <f>Supermarket_Sales_Case_Study[[#This Row],[Quantity]]*Supermarket_Sales_Case_Study[[#This Row],[Sales_Amount]]</f>
        <v>1181.120252569968</v>
      </c>
    </row>
    <row r="893" spans="1:16" x14ac:dyDescent="0.3">
      <c r="A893" t="s">
        <v>923</v>
      </c>
      <c r="B893" t="s">
        <v>21</v>
      </c>
      <c r="C893" t="s">
        <v>36</v>
      </c>
      <c r="D893">
        <v>1052</v>
      </c>
      <c r="E893" t="s">
        <v>16</v>
      </c>
      <c r="F893" t="s">
        <v>22</v>
      </c>
      <c r="G893" t="s">
        <v>31</v>
      </c>
      <c r="H893" s="1">
        <v>45348</v>
      </c>
      <c r="I893">
        <v>273.102193863357</v>
      </c>
      <c r="J893">
        <v>6</v>
      </c>
      <c r="K893">
        <v>1638.61316318014</v>
      </c>
      <c r="L893">
        <v>491.58394895404302</v>
      </c>
      <c r="M893" t="s">
        <v>34</v>
      </c>
      <c r="N893">
        <f>Supermarket_Sales_Case_Study[[#This Row],[Sales_Amount]]-Supermarket_Sales_Case_Study[[#This Row],[Profit]]</f>
        <v>1147.0292142260969</v>
      </c>
      <c r="O893" s="2">
        <f>(Supermarket_Sales_Case_Study[[#This Row],[Sales_Amount]]-Supermarket_Sales_Case_Study[[#This Row],[Purchase]])/Supermarket_Sales_Case_Study[[#This Row],[Sales_Amount]]</f>
        <v>0.30000000000000066</v>
      </c>
      <c r="P893">
        <f>Supermarket_Sales_Case_Study[[#This Row],[Quantity]]*Supermarket_Sales_Case_Study[[#This Row],[Sales_Amount]]</f>
        <v>9831.6789790808398</v>
      </c>
    </row>
    <row r="894" spans="1:16" x14ac:dyDescent="0.3">
      <c r="A894" t="s">
        <v>924</v>
      </c>
      <c r="B894" t="s">
        <v>21</v>
      </c>
      <c r="C894" t="s">
        <v>36</v>
      </c>
      <c r="D894">
        <v>1939</v>
      </c>
      <c r="E894" t="s">
        <v>16</v>
      </c>
      <c r="F894" t="s">
        <v>22</v>
      </c>
      <c r="G894" t="s">
        <v>18</v>
      </c>
      <c r="H894" s="1">
        <v>45344</v>
      </c>
      <c r="I894">
        <v>55.322275769435102</v>
      </c>
      <c r="J894">
        <v>8</v>
      </c>
      <c r="K894">
        <v>442.57820615548002</v>
      </c>
      <c r="L894">
        <v>132.77346184664401</v>
      </c>
      <c r="M894" t="s">
        <v>19</v>
      </c>
      <c r="N894">
        <f>Supermarket_Sales_Case_Study[[#This Row],[Sales_Amount]]-Supermarket_Sales_Case_Study[[#This Row],[Profit]]</f>
        <v>309.80474430883601</v>
      </c>
      <c r="O894" s="2">
        <f>(Supermarket_Sales_Case_Study[[#This Row],[Sales_Amount]]-Supermarket_Sales_Case_Study[[#This Row],[Purchase]])/Supermarket_Sales_Case_Study[[#This Row],[Sales_Amount]]</f>
        <v>0.3</v>
      </c>
      <c r="P894">
        <f>Supermarket_Sales_Case_Study[[#This Row],[Quantity]]*Supermarket_Sales_Case_Study[[#This Row],[Sales_Amount]]</f>
        <v>3540.6256492438401</v>
      </c>
    </row>
    <row r="895" spans="1:16" x14ac:dyDescent="0.3">
      <c r="A895" t="s">
        <v>925</v>
      </c>
      <c r="B895" t="s">
        <v>39</v>
      </c>
      <c r="C895" t="s">
        <v>15</v>
      </c>
      <c r="D895">
        <v>1519</v>
      </c>
      <c r="E895" t="s">
        <v>26</v>
      </c>
      <c r="F895" t="s">
        <v>22</v>
      </c>
      <c r="G895" t="s">
        <v>37</v>
      </c>
      <c r="H895" s="1">
        <v>45303</v>
      </c>
      <c r="I895">
        <v>73.825716292702097</v>
      </c>
      <c r="J895">
        <v>1</v>
      </c>
      <c r="K895">
        <v>73.825716292702097</v>
      </c>
      <c r="L895">
        <v>22.147714887810601</v>
      </c>
      <c r="M895" t="s">
        <v>34</v>
      </c>
      <c r="N895">
        <f>Supermarket_Sales_Case_Study[[#This Row],[Sales_Amount]]-Supermarket_Sales_Case_Study[[#This Row],[Profit]]</f>
        <v>51.678001404891496</v>
      </c>
      <c r="O895" s="2">
        <f>(Supermarket_Sales_Case_Study[[#This Row],[Sales_Amount]]-Supermarket_Sales_Case_Study[[#This Row],[Purchase]])/Supermarket_Sales_Case_Study[[#This Row],[Sales_Amount]]</f>
        <v>0.2999999999999996</v>
      </c>
      <c r="P895">
        <f>Supermarket_Sales_Case_Study[[#This Row],[Quantity]]*Supermarket_Sales_Case_Study[[#This Row],[Sales_Amount]]</f>
        <v>73.825716292702097</v>
      </c>
    </row>
    <row r="896" spans="1:16" x14ac:dyDescent="0.3">
      <c r="A896" t="s">
        <v>926</v>
      </c>
      <c r="B896" t="s">
        <v>39</v>
      </c>
      <c r="C896" t="s">
        <v>30</v>
      </c>
      <c r="D896">
        <v>2353</v>
      </c>
      <c r="E896" t="s">
        <v>16</v>
      </c>
      <c r="F896" t="s">
        <v>22</v>
      </c>
      <c r="G896" t="s">
        <v>28</v>
      </c>
      <c r="H896" s="1">
        <v>45304</v>
      </c>
      <c r="I896">
        <v>160.30009116981699</v>
      </c>
      <c r="J896">
        <v>6</v>
      </c>
      <c r="K896">
        <v>961.80054701890401</v>
      </c>
      <c r="L896">
        <v>288.54016410567101</v>
      </c>
      <c r="M896" t="s">
        <v>34</v>
      </c>
      <c r="N896">
        <f>Supermarket_Sales_Case_Study[[#This Row],[Sales_Amount]]-Supermarket_Sales_Case_Study[[#This Row],[Profit]]</f>
        <v>673.260382913233</v>
      </c>
      <c r="O896" s="2">
        <f>(Supermarket_Sales_Case_Study[[#This Row],[Sales_Amount]]-Supermarket_Sales_Case_Study[[#This Row],[Purchase]])/Supermarket_Sales_Case_Study[[#This Row],[Sales_Amount]]</f>
        <v>0.29999999999999982</v>
      </c>
      <c r="P896">
        <f>Supermarket_Sales_Case_Study[[#This Row],[Quantity]]*Supermarket_Sales_Case_Study[[#This Row],[Sales_Amount]]</f>
        <v>5770.8032821134238</v>
      </c>
    </row>
    <row r="897" spans="1:16" x14ac:dyDescent="0.3">
      <c r="A897" t="s">
        <v>927</v>
      </c>
      <c r="B897" t="s">
        <v>39</v>
      </c>
      <c r="C897" t="s">
        <v>36</v>
      </c>
      <c r="D897">
        <v>2348</v>
      </c>
      <c r="E897" t="s">
        <v>26</v>
      </c>
      <c r="F897" t="s">
        <v>17</v>
      </c>
      <c r="G897" t="s">
        <v>28</v>
      </c>
      <c r="H897" s="1">
        <v>45365</v>
      </c>
      <c r="I897">
        <v>215.933282237811</v>
      </c>
      <c r="J897">
        <v>1</v>
      </c>
      <c r="K897">
        <v>215.933282237811</v>
      </c>
      <c r="L897">
        <v>64.7799846713433</v>
      </c>
      <c r="M897" t="s">
        <v>34</v>
      </c>
      <c r="N897">
        <f>Supermarket_Sales_Case_Study[[#This Row],[Sales_Amount]]-Supermarket_Sales_Case_Study[[#This Row],[Profit]]</f>
        <v>151.1532975664677</v>
      </c>
      <c r="O897" s="2">
        <f>(Supermarket_Sales_Case_Study[[#This Row],[Sales_Amount]]-Supermarket_Sales_Case_Study[[#This Row],[Purchase]])/Supermarket_Sales_Case_Study[[#This Row],[Sales_Amount]]</f>
        <v>0.3</v>
      </c>
      <c r="P897">
        <f>Supermarket_Sales_Case_Study[[#This Row],[Quantity]]*Supermarket_Sales_Case_Study[[#This Row],[Sales_Amount]]</f>
        <v>215.933282237811</v>
      </c>
    </row>
    <row r="898" spans="1:16" x14ac:dyDescent="0.3">
      <c r="A898" t="s">
        <v>928</v>
      </c>
      <c r="B898" t="s">
        <v>21</v>
      </c>
      <c r="C898" t="s">
        <v>30</v>
      </c>
      <c r="D898">
        <v>2137</v>
      </c>
      <c r="E898" t="s">
        <v>26</v>
      </c>
      <c r="F898" t="s">
        <v>17</v>
      </c>
      <c r="G898" t="s">
        <v>23</v>
      </c>
      <c r="H898" s="1">
        <v>45348</v>
      </c>
      <c r="I898">
        <v>37.761425875875197</v>
      </c>
      <c r="J898">
        <v>1</v>
      </c>
      <c r="K898">
        <v>37.761425875875197</v>
      </c>
      <c r="L898">
        <v>11.3284277627625</v>
      </c>
      <c r="M898" t="s">
        <v>34</v>
      </c>
      <c r="N898">
        <f>Supermarket_Sales_Case_Study[[#This Row],[Sales_Amount]]-Supermarket_Sales_Case_Study[[#This Row],[Profit]]</f>
        <v>26.432998113112696</v>
      </c>
      <c r="O898" s="2">
        <f>(Supermarket_Sales_Case_Study[[#This Row],[Sales_Amount]]-Supermarket_Sales_Case_Study[[#This Row],[Purchase]])/Supermarket_Sales_Case_Study[[#This Row],[Sales_Amount]]</f>
        <v>0.29999999999999849</v>
      </c>
      <c r="P898">
        <f>Supermarket_Sales_Case_Study[[#This Row],[Quantity]]*Supermarket_Sales_Case_Study[[#This Row],[Sales_Amount]]</f>
        <v>37.761425875875197</v>
      </c>
    </row>
    <row r="899" spans="1:16" x14ac:dyDescent="0.3">
      <c r="A899" t="s">
        <v>929</v>
      </c>
      <c r="B899" t="s">
        <v>39</v>
      </c>
      <c r="C899" t="s">
        <v>36</v>
      </c>
      <c r="D899">
        <v>1146</v>
      </c>
      <c r="E899" t="s">
        <v>26</v>
      </c>
      <c r="F899" t="s">
        <v>22</v>
      </c>
      <c r="G899" t="s">
        <v>33</v>
      </c>
      <c r="H899" s="1">
        <v>45331</v>
      </c>
      <c r="I899">
        <v>102.131462288677</v>
      </c>
      <c r="J899">
        <v>8</v>
      </c>
      <c r="K899">
        <v>817.051698309416</v>
      </c>
      <c r="L899">
        <v>245.115509492824</v>
      </c>
      <c r="M899" t="s">
        <v>34</v>
      </c>
      <c r="N899">
        <f>Supermarket_Sales_Case_Study[[#This Row],[Sales_Amount]]-Supermarket_Sales_Case_Study[[#This Row],[Profit]]</f>
        <v>571.93618881659199</v>
      </c>
      <c r="O899" s="2">
        <f>(Supermarket_Sales_Case_Study[[#This Row],[Sales_Amount]]-Supermarket_Sales_Case_Study[[#This Row],[Purchase]])/Supermarket_Sales_Case_Study[[#This Row],[Sales_Amount]]</f>
        <v>0.29999999999999905</v>
      </c>
      <c r="P899">
        <f>Supermarket_Sales_Case_Study[[#This Row],[Quantity]]*Supermarket_Sales_Case_Study[[#This Row],[Sales_Amount]]</f>
        <v>6536.413586475328</v>
      </c>
    </row>
    <row r="900" spans="1:16" x14ac:dyDescent="0.3">
      <c r="A900" t="s">
        <v>930</v>
      </c>
      <c r="B900" t="s">
        <v>39</v>
      </c>
      <c r="C900" t="s">
        <v>30</v>
      </c>
      <c r="D900">
        <v>2189</v>
      </c>
      <c r="E900" t="s">
        <v>16</v>
      </c>
      <c r="F900" t="s">
        <v>22</v>
      </c>
      <c r="G900" t="s">
        <v>33</v>
      </c>
      <c r="H900" s="1">
        <v>45371</v>
      </c>
      <c r="I900">
        <v>290.91563561656301</v>
      </c>
      <c r="J900">
        <v>7</v>
      </c>
      <c r="K900">
        <v>2036.40944931594</v>
      </c>
      <c r="L900">
        <v>610.92283479478294</v>
      </c>
      <c r="M900" t="s">
        <v>19</v>
      </c>
      <c r="N900">
        <f>Supermarket_Sales_Case_Study[[#This Row],[Sales_Amount]]-Supermarket_Sales_Case_Study[[#This Row],[Profit]]</f>
        <v>1425.4866145211572</v>
      </c>
      <c r="O900" s="2">
        <f>(Supermarket_Sales_Case_Study[[#This Row],[Sales_Amount]]-Supermarket_Sales_Case_Study[[#This Row],[Purchase]])/Supermarket_Sales_Case_Study[[#This Row],[Sales_Amount]]</f>
        <v>0.30000000000000038</v>
      </c>
      <c r="P900">
        <f>Supermarket_Sales_Case_Study[[#This Row],[Quantity]]*Supermarket_Sales_Case_Study[[#This Row],[Sales_Amount]]</f>
        <v>14254.866145211581</v>
      </c>
    </row>
    <row r="901" spans="1:16" x14ac:dyDescent="0.3">
      <c r="A901" t="s">
        <v>931</v>
      </c>
      <c r="B901" t="s">
        <v>21</v>
      </c>
      <c r="C901" t="s">
        <v>15</v>
      </c>
      <c r="D901">
        <v>2402</v>
      </c>
      <c r="E901" t="s">
        <v>26</v>
      </c>
      <c r="F901" t="s">
        <v>22</v>
      </c>
      <c r="G901" t="s">
        <v>37</v>
      </c>
      <c r="H901" s="1">
        <v>45336</v>
      </c>
      <c r="I901">
        <v>86.079460366474194</v>
      </c>
      <c r="J901">
        <v>3</v>
      </c>
      <c r="K901">
        <v>258.23838109942199</v>
      </c>
      <c r="L901">
        <v>77.471514329826803</v>
      </c>
      <c r="M901" t="s">
        <v>24</v>
      </c>
      <c r="N901">
        <f>Supermarket_Sales_Case_Study[[#This Row],[Sales_Amount]]-Supermarket_Sales_Case_Study[[#This Row],[Profit]]</f>
        <v>180.7668667695952</v>
      </c>
      <c r="O901" s="2">
        <f>(Supermarket_Sales_Case_Study[[#This Row],[Sales_Amount]]-Supermarket_Sales_Case_Study[[#This Row],[Purchase]])/Supermarket_Sales_Case_Study[[#This Row],[Sales_Amount]]</f>
        <v>0.30000000000000077</v>
      </c>
      <c r="P901">
        <f>Supermarket_Sales_Case_Study[[#This Row],[Quantity]]*Supermarket_Sales_Case_Study[[#This Row],[Sales_Amount]]</f>
        <v>774.71514329826596</v>
      </c>
    </row>
    <row r="902" spans="1:16" x14ac:dyDescent="0.3">
      <c r="A902" t="s">
        <v>932</v>
      </c>
      <c r="B902" t="s">
        <v>14</v>
      </c>
      <c r="C902" t="s">
        <v>36</v>
      </c>
      <c r="D902">
        <v>2162</v>
      </c>
      <c r="E902" t="s">
        <v>16</v>
      </c>
      <c r="F902" t="s">
        <v>22</v>
      </c>
      <c r="G902" t="s">
        <v>23</v>
      </c>
      <c r="H902" s="1">
        <v>45326</v>
      </c>
      <c r="I902">
        <v>100.78454206831201</v>
      </c>
      <c r="J902">
        <v>6</v>
      </c>
      <c r="K902">
        <v>604.70725240987497</v>
      </c>
      <c r="L902">
        <v>181.41217572296199</v>
      </c>
      <c r="M902" t="s">
        <v>19</v>
      </c>
      <c r="N902">
        <f>Supermarket_Sales_Case_Study[[#This Row],[Sales_Amount]]-Supermarket_Sales_Case_Study[[#This Row],[Profit]]</f>
        <v>423.29507668691298</v>
      </c>
      <c r="O902" s="2">
        <f>(Supermarket_Sales_Case_Study[[#This Row],[Sales_Amount]]-Supermarket_Sales_Case_Study[[#This Row],[Purchase]])/Supermarket_Sales_Case_Study[[#This Row],[Sales_Amount]]</f>
        <v>0.29999999999999916</v>
      </c>
      <c r="P902">
        <f>Supermarket_Sales_Case_Study[[#This Row],[Quantity]]*Supermarket_Sales_Case_Study[[#This Row],[Sales_Amount]]</f>
        <v>3628.24351445925</v>
      </c>
    </row>
    <row r="903" spans="1:16" x14ac:dyDescent="0.3">
      <c r="A903" t="s">
        <v>933</v>
      </c>
      <c r="B903" t="s">
        <v>21</v>
      </c>
      <c r="C903" t="s">
        <v>36</v>
      </c>
      <c r="D903">
        <v>1628</v>
      </c>
      <c r="E903" t="s">
        <v>26</v>
      </c>
      <c r="F903" t="s">
        <v>22</v>
      </c>
      <c r="G903" t="s">
        <v>23</v>
      </c>
      <c r="H903" s="1">
        <v>45294</v>
      </c>
      <c r="I903">
        <v>252.584562279229</v>
      </c>
      <c r="J903">
        <v>9</v>
      </c>
      <c r="K903">
        <v>2273.2610605130599</v>
      </c>
      <c r="L903">
        <v>681.97831815391999</v>
      </c>
      <c r="M903" t="s">
        <v>19</v>
      </c>
      <c r="N903">
        <f>Supermarket_Sales_Case_Study[[#This Row],[Sales_Amount]]-Supermarket_Sales_Case_Study[[#This Row],[Profit]]</f>
        <v>1591.2827423591398</v>
      </c>
      <c r="O903" s="2">
        <f>(Supermarket_Sales_Case_Study[[#This Row],[Sales_Amount]]-Supermarket_Sales_Case_Study[[#This Row],[Purchase]])/Supermarket_Sales_Case_Study[[#This Row],[Sales_Amount]]</f>
        <v>0.30000000000000093</v>
      </c>
      <c r="P903">
        <f>Supermarket_Sales_Case_Study[[#This Row],[Quantity]]*Supermarket_Sales_Case_Study[[#This Row],[Sales_Amount]]</f>
        <v>20459.34954461754</v>
      </c>
    </row>
    <row r="904" spans="1:16" x14ac:dyDescent="0.3">
      <c r="A904" t="s">
        <v>934</v>
      </c>
      <c r="B904" t="s">
        <v>39</v>
      </c>
      <c r="C904" t="s">
        <v>30</v>
      </c>
      <c r="D904">
        <v>1298</v>
      </c>
      <c r="E904" t="s">
        <v>26</v>
      </c>
      <c r="F904" t="s">
        <v>17</v>
      </c>
      <c r="G904" t="s">
        <v>23</v>
      </c>
      <c r="H904" s="1">
        <v>45296</v>
      </c>
      <c r="I904">
        <v>24.562185190232</v>
      </c>
      <c r="J904">
        <v>7</v>
      </c>
      <c r="K904">
        <v>171.93529633162399</v>
      </c>
      <c r="L904">
        <v>51.580588899487203</v>
      </c>
      <c r="M904" t="s">
        <v>19</v>
      </c>
      <c r="N904">
        <f>Supermarket_Sales_Case_Study[[#This Row],[Sales_Amount]]-Supermarket_Sales_Case_Study[[#This Row],[Profit]]</f>
        <v>120.35470743213679</v>
      </c>
      <c r="O904" s="2">
        <f>(Supermarket_Sales_Case_Study[[#This Row],[Sales_Amount]]-Supermarket_Sales_Case_Study[[#This Row],[Purchase]])/Supermarket_Sales_Case_Study[[#This Row],[Sales_Amount]]</f>
        <v>0.3</v>
      </c>
      <c r="P904">
        <f>Supermarket_Sales_Case_Study[[#This Row],[Quantity]]*Supermarket_Sales_Case_Study[[#This Row],[Sales_Amount]]</f>
        <v>1203.547074321368</v>
      </c>
    </row>
    <row r="905" spans="1:16" x14ac:dyDescent="0.3">
      <c r="A905" t="s">
        <v>935</v>
      </c>
      <c r="B905" t="s">
        <v>21</v>
      </c>
      <c r="C905" t="s">
        <v>30</v>
      </c>
      <c r="D905">
        <v>2299</v>
      </c>
      <c r="E905" t="s">
        <v>26</v>
      </c>
      <c r="F905" t="s">
        <v>17</v>
      </c>
      <c r="G905" t="s">
        <v>37</v>
      </c>
      <c r="H905" s="1">
        <v>45381</v>
      </c>
      <c r="I905">
        <v>144.73781895460101</v>
      </c>
      <c r="J905">
        <v>3</v>
      </c>
      <c r="K905">
        <v>434.21345686380403</v>
      </c>
      <c r="L905">
        <v>130.264037059141</v>
      </c>
      <c r="M905" t="s">
        <v>19</v>
      </c>
      <c r="N905">
        <f>Supermarket_Sales_Case_Study[[#This Row],[Sales_Amount]]-Supermarket_Sales_Case_Study[[#This Row],[Profit]]</f>
        <v>303.94941980466302</v>
      </c>
      <c r="O905" s="2">
        <f>(Supermarket_Sales_Case_Study[[#This Row],[Sales_Amount]]-Supermarket_Sales_Case_Study[[#This Row],[Purchase]])/Supermarket_Sales_Case_Study[[#This Row],[Sales_Amount]]</f>
        <v>0.29999999999999954</v>
      </c>
      <c r="P905">
        <f>Supermarket_Sales_Case_Study[[#This Row],[Quantity]]*Supermarket_Sales_Case_Study[[#This Row],[Sales_Amount]]</f>
        <v>1302.6403705914122</v>
      </c>
    </row>
    <row r="906" spans="1:16" x14ac:dyDescent="0.3">
      <c r="A906" t="s">
        <v>936</v>
      </c>
      <c r="B906" t="s">
        <v>14</v>
      </c>
      <c r="C906" t="s">
        <v>36</v>
      </c>
      <c r="D906">
        <v>1788</v>
      </c>
      <c r="E906" t="s">
        <v>16</v>
      </c>
      <c r="F906" t="s">
        <v>17</v>
      </c>
      <c r="G906" t="s">
        <v>33</v>
      </c>
      <c r="H906" s="1">
        <v>45302</v>
      </c>
      <c r="I906">
        <v>120.088861690984</v>
      </c>
      <c r="J906">
        <v>6</v>
      </c>
      <c r="K906">
        <v>720.53317014590596</v>
      </c>
      <c r="L906">
        <v>216.159951043771</v>
      </c>
      <c r="M906" t="s">
        <v>24</v>
      </c>
      <c r="N906">
        <f>Supermarket_Sales_Case_Study[[#This Row],[Sales_Amount]]-Supermarket_Sales_Case_Study[[#This Row],[Profit]]</f>
        <v>504.37321910213495</v>
      </c>
      <c r="O906" s="2">
        <f>(Supermarket_Sales_Case_Study[[#This Row],[Sales_Amount]]-Supermarket_Sales_Case_Study[[#This Row],[Purchase]])/Supermarket_Sales_Case_Study[[#This Row],[Sales_Amount]]</f>
        <v>0.29999999999999893</v>
      </c>
      <c r="P906">
        <f>Supermarket_Sales_Case_Study[[#This Row],[Quantity]]*Supermarket_Sales_Case_Study[[#This Row],[Sales_Amount]]</f>
        <v>4323.199020875436</v>
      </c>
    </row>
    <row r="907" spans="1:16" x14ac:dyDescent="0.3">
      <c r="A907" t="s">
        <v>937</v>
      </c>
      <c r="B907" t="s">
        <v>21</v>
      </c>
      <c r="C907" t="s">
        <v>15</v>
      </c>
      <c r="D907">
        <v>1849</v>
      </c>
      <c r="E907" t="s">
        <v>16</v>
      </c>
      <c r="F907" t="s">
        <v>17</v>
      </c>
      <c r="G907" t="s">
        <v>23</v>
      </c>
      <c r="H907" s="1">
        <v>45362</v>
      </c>
      <c r="I907">
        <v>101.810160373508</v>
      </c>
      <c r="J907">
        <v>4</v>
      </c>
      <c r="K907">
        <v>407.240641494035</v>
      </c>
      <c r="L907">
        <v>122.17219244821</v>
      </c>
      <c r="M907" t="s">
        <v>19</v>
      </c>
      <c r="N907">
        <f>Supermarket_Sales_Case_Study[[#This Row],[Sales_Amount]]-Supermarket_Sales_Case_Study[[#This Row],[Profit]]</f>
        <v>285.06844904582499</v>
      </c>
      <c r="O907" s="2">
        <f>(Supermarket_Sales_Case_Study[[#This Row],[Sales_Amount]]-Supermarket_Sales_Case_Study[[#This Row],[Purchase]])/Supermarket_Sales_Case_Study[[#This Row],[Sales_Amount]]</f>
        <v>0.29999999999999882</v>
      </c>
      <c r="P907">
        <f>Supermarket_Sales_Case_Study[[#This Row],[Quantity]]*Supermarket_Sales_Case_Study[[#This Row],[Sales_Amount]]</f>
        <v>1628.96256597614</v>
      </c>
    </row>
    <row r="908" spans="1:16" x14ac:dyDescent="0.3">
      <c r="A908" t="s">
        <v>938</v>
      </c>
      <c r="B908" t="s">
        <v>39</v>
      </c>
      <c r="C908" t="s">
        <v>30</v>
      </c>
      <c r="D908">
        <v>1177</v>
      </c>
      <c r="E908" t="s">
        <v>16</v>
      </c>
      <c r="F908" t="s">
        <v>22</v>
      </c>
      <c r="G908" t="s">
        <v>31</v>
      </c>
      <c r="H908" s="1">
        <v>45347</v>
      </c>
      <c r="I908">
        <v>92.852882272981702</v>
      </c>
      <c r="J908">
        <v>3</v>
      </c>
      <c r="K908">
        <v>278.55864681894502</v>
      </c>
      <c r="L908">
        <v>83.567594045683506</v>
      </c>
      <c r="M908" t="s">
        <v>34</v>
      </c>
      <c r="N908">
        <f>Supermarket_Sales_Case_Study[[#This Row],[Sales_Amount]]-Supermarket_Sales_Case_Study[[#This Row],[Profit]]</f>
        <v>194.99105277326152</v>
      </c>
      <c r="O908" s="2">
        <f>(Supermarket_Sales_Case_Study[[#This Row],[Sales_Amount]]-Supermarket_Sales_Case_Study[[#This Row],[Purchase]])/Supermarket_Sales_Case_Study[[#This Row],[Sales_Amount]]</f>
        <v>0.3</v>
      </c>
      <c r="P908">
        <f>Supermarket_Sales_Case_Study[[#This Row],[Quantity]]*Supermarket_Sales_Case_Study[[#This Row],[Sales_Amount]]</f>
        <v>835.67594045683506</v>
      </c>
    </row>
    <row r="909" spans="1:16" x14ac:dyDescent="0.3">
      <c r="A909" t="s">
        <v>939</v>
      </c>
      <c r="B909" t="s">
        <v>14</v>
      </c>
      <c r="C909" t="s">
        <v>30</v>
      </c>
      <c r="D909">
        <v>1841</v>
      </c>
      <c r="E909" t="s">
        <v>26</v>
      </c>
      <c r="F909" t="s">
        <v>17</v>
      </c>
      <c r="G909" t="s">
        <v>28</v>
      </c>
      <c r="H909" s="1">
        <v>45301</v>
      </c>
      <c r="I909">
        <v>36.498490409518602</v>
      </c>
      <c r="J909">
        <v>9</v>
      </c>
      <c r="K909">
        <v>328.48641368566803</v>
      </c>
      <c r="L909">
        <v>98.545924105700394</v>
      </c>
      <c r="M909" t="s">
        <v>19</v>
      </c>
      <c r="N909">
        <f>Supermarket_Sales_Case_Study[[#This Row],[Sales_Amount]]-Supermarket_Sales_Case_Study[[#This Row],[Profit]]</f>
        <v>229.94048957996762</v>
      </c>
      <c r="O909" s="2">
        <f>(Supermarket_Sales_Case_Study[[#This Row],[Sales_Amount]]-Supermarket_Sales_Case_Study[[#This Row],[Purchase]])/Supermarket_Sales_Case_Study[[#This Row],[Sales_Amount]]</f>
        <v>0.3</v>
      </c>
      <c r="P909">
        <f>Supermarket_Sales_Case_Study[[#This Row],[Quantity]]*Supermarket_Sales_Case_Study[[#This Row],[Sales_Amount]]</f>
        <v>2956.3777231710123</v>
      </c>
    </row>
    <row r="910" spans="1:16" x14ac:dyDescent="0.3">
      <c r="A910" t="s">
        <v>940</v>
      </c>
      <c r="B910" t="s">
        <v>39</v>
      </c>
      <c r="C910" t="s">
        <v>30</v>
      </c>
      <c r="D910">
        <v>2377</v>
      </c>
      <c r="E910" t="s">
        <v>26</v>
      </c>
      <c r="F910" t="s">
        <v>22</v>
      </c>
      <c r="G910" t="s">
        <v>28</v>
      </c>
      <c r="H910" s="1">
        <v>45325</v>
      </c>
      <c r="I910">
        <v>101.29949051197799</v>
      </c>
      <c r="J910">
        <v>2</v>
      </c>
      <c r="K910">
        <v>202.59898102395599</v>
      </c>
      <c r="L910">
        <v>60.779694307186801</v>
      </c>
      <c r="M910" t="s">
        <v>19</v>
      </c>
      <c r="N910">
        <f>Supermarket_Sales_Case_Study[[#This Row],[Sales_Amount]]-Supermarket_Sales_Case_Study[[#This Row],[Profit]]</f>
        <v>141.81928671676917</v>
      </c>
      <c r="O910" s="2">
        <f>(Supermarket_Sales_Case_Study[[#This Row],[Sales_Amount]]-Supermarket_Sales_Case_Study[[#This Row],[Purchase]])/Supermarket_Sales_Case_Study[[#This Row],[Sales_Amount]]</f>
        <v>0.3000000000000001</v>
      </c>
      <c r="P910">
        <f>Supermarket_Sales_Case_Study[[#This Row],[Quantity]]*Supermarket_Sales_Case_Study[[#This Row],[Sales_Amount]]</f>
        <v>405.19796204791197</v>
      </c>
    </row>
    <row r="911" spans="1:16" x14ac:dyDescent="0.3">
      <c r="A911" t="s">
        <v>941</v>
      </c>
      <c r="B911" t="s">
        <v>14</v>
      </c>
      <c r="C911" t="s">
        <v>36</v>
      </c>
      <c r="D911">
        <v>2177</v>
      </c>
      <c r="E911" t="s">
        <v>16</v>
      </c>
      <c r="F911" t="s">
        <v>22</v>
      </c>
      <c r="G911" t="s">
        <v>18</v>
      </c>
      <c r="H911" s="1">
        <v>45358</v>
      </c>
      <c r="I911">
        <v>22.485196787543799</v>
      </c>
      <c r="J911">
        <v>1</v>
      </c>
      <c r="K911">
        <v>22.485196787543799</v>
      </c>
      <c r="L911">
        <v>6.7455590362631597</v>
      </c>
      <c r="M911" t="s">
        <v>24</v>
      </c>
      <c r="N911">
        <f>Supermarket_Sales_Case_Study[[#This Row],[Sales_Amount]]-Supermarket_Sales_Case_Study[[#This Row],[Profit]]</f>
        <v>15.73963775128064</v>
      </c>
      <c r="O911" s="2">
        <f>(Supermarket_Sales_Case_Study[[#This Row],[Sales_Amount]]-Supermarket_Sales_Case_Study[[#This Row],[Purchase]])/Supermarket_Sales_Case_Study[[#This Row],[Sales_Amount]]</f>
        <v>0.30000000000000088</v>
      </c>
      <c r="P911">
        <f>Supermarket_Sales_Case_Study[[#This Row],[Quantity]]*Supermarket_Sales_Case_Study[[#This Row],[Sales_Amount]]</f>
        <v>22.485196787543799</v>
      </c>
    </row>
    <row r="912" spans="1:16" x14ac:dyDescent="0.3">
      <c r="A912" t="s">
        <v>942</v>
      </c>
      <c r="B912" t="s">
        <v>14</v>
      </c>
      <c r="C912" t="s">
        <v>36</v>
      </c>
      <c r="D912">
        <v>2224</v>
      </c>
      <c r="E912" t="s">
        <v>16</v>
      </c>
      <c r="F912" t="s">
        <v>22</v>
      </c>
      <c r="G912" t="s">
        <v>18</v>
      </c>
      <c r="H912" s="1">
        <v>45363</v>
      </c>
      <c r="I912">
        <v>236.47952045688601</v>
      </c>
      <c r="J912">
        <v>2</v>
      </c>
      <c r="K912">
        <v>472.95904091377201</v>
      </c>
      <c r="L912">
        <v>141.88771227413099</v>
      </c>
      <c r="M912" t="s">
        <v>24</v>
      </c>
      <c r="N912">
        <f>Supermarket_Sales_Case_Study[[#This Row],[Sales_Amount]]-Supermarket_Sales_Case_Study[[#This Row],[Profit]]</f>
        <v>331.07132863964102</v>
      </c>
      <c r="O912" s="2">
        <f>(Supermarket_Sales_Case_Study[[#This Row],[Sales_Amount]]-Supermarket_Sales_Case_Study[[#This Row],[Purchase]])/Supermarket_Sales_Case_Study[[#This Row],[Sales_Amount]]</f>
        <v>0.29999999999999871</v>
      </c>
      <c r="P912">
        <f>Supermarket_Sales_Case_Study[[#This Row],[Quantity]]*Supermarket_Sales_Case_Study[[#This Row],[Sales_Amount]]</f>
        <v>945.91808182754403</v>
      </c>
    </row>
    <row r="913" spans="1:16" x14ac:dyDescent="0.3">
      <c r="A913" t="s">
        <v>943</v>
      </c>
      <c r="B913" t="s">
        <v>21</v>
      </c>
      <c r="C913" t="s">
        <v>36</v>
      </c>
      <c r="D913">
        <v>1877</v>
      </c>
      <c r="E913" t="s">
        <v>16</v>
      </c>
      <c r="F913" t="s">
        <v>17</v>
      </c>
      <c r="G913" t="s">
        <v>37</v>
      </c>
      <c r="H913" s="1">
        <v>45322</v>
      </c>
      <c r="I913">
        <v>125.486060247823</v>
      </c>
      <c r="J913">
        <v>7</v>
      </c>
      <c r="K913">
        <v>878.40242173476304</v>
      </c>
      <c r="L913">
        <v>263.52072652042898</v>
      </c>
      <c r="M913" t="s">
        <v>34</v>
      </c>
      <c r="N913">
        <f>Supermarket_Sales_Case_Study[[#This Row],[Sales_Amount]]-Supermarket_Sales_Case_Study[[#This Row],[Profit]]</f>
        <v>614.88169521433406</v>
      </c>
      <c r="O913" s="2">
        <f>(Supermarket_Sales_Case_Study[[#This Row],[Sales_Amount]]-Supermarket_Sales_Case_Study[[#This Row],[Purchase]])/Supermarket_Sales_Case_Study[[#This Row],[Sales_Amount]]</f>
        <v>0.3000000000000001</v>
      </c>
      <c r="P913">
        <f>Supermarket_Sales_Case_Study[[#This Row],[Quantity]]*Supermarket_Sales_Case_Study[[#This Row],[Sales_Amount]]</f>
        <v>6148.816952143341</v>
      </c>
    </row>
    <row r="914" spans="1:16" x14ac:dyDescent="0.3">
      <c r="A914" t="s">
        <v>944</v>
      </c>
      <c r="B914" t="s">
        <v>21</v>
      </c>
      <c r="C914" t="s">
        <v>36</v>
      </c>
      <c r="D914">
        <v>2138</v>
      </c>
      <c r="E914" t="s">
        <v>16</v>
      </c>
      <c r="F914" t="s">
        <v>22</v>
      </c>
      <c r="G914" t="s">
        <v>37</v>
      </c>
      <c r="H914" s="1">
        <v>45366</v>
      </c>
      <c r="I914">
        <v>138.732111372774</v>
      </c>
      <c r="J914">
        <v>1</v>
      </c>
      <c r="K914">
        <v>138.732111372774</v>
      </c>
      <c r="L914">
        <v>41.619633411832297</v>
      </c>
      <c r="M914" t="s">
        <v>19</v>
      </c>
      <c r="N914">
        <f>Supermarket_Sales_Case_Study[[#This Row],[Sales_Amount]]-Supermarket_Sales_Case_Study[[#This Row],[Profit]]</f>
        <v>97.112477960941703</v>
      </c>
      <c r="O914" s="2">
        <f>(Supermarket_Sales_Case_Study[[#This Row],[Sales_Amount]]-Supermarket_Sales_Case_Study[[#This Row],[Purchase]])/Supermarket_Sales_Case_Study[[#This Row],[Sales_Amount]]</f>
        <v>0.30000000000000071</v>
      </c>
      <c r="P914">
        <f>Supermarket_Sales_Case_Study[[#This Row],[Quantity]]*Supermarket_Sales_Case_Study[[#This Row],[Sales_Amount]]</f>
        <v>138.732111372774</v>
      </c>
    </row>
    <row r="915" spans="1:16" x14ac:dyDescent="0.3">
      <c r="A915" t="s">
        <v>945</v>
      </c>
      <c r="B915" t="s">
        <v>39</v>
      </c>
      <c r="C915" t="s">
        <v>15</v>
      </c>
      <c r="D915">
        <v>1758</v>
      </c>
      <c r="E915" t="s">
        <v>16</v>
      </c>
      <c r="F915" t="s">
        <v>17</v>
      </c>
      <c r="G915" t="s">
        <v>28</v>
      </c>
      <c r="H915" s="1">
        <v>45362</v>
      </c>
      <c r="I915">
        <v>269.14243007053801</v>
      </c>
      <c r="J915">
        <v>6</v>
      </c>
      <c r="K915">
        <v>1614.8545804232201</v>
      </c>
      <c r="L915">
        <v>484.456374126968</v>
      </c>
      <c r="M915" t="s">
        <v>19</v>
      </c>
      <c r="N915">
        <f>Supermarket_Sales_Case_Study[[#This Row],[Sales_Amount]]-Supermarket_Sales_Case_Study[[#This Row],[Profit]]</f>
        <v>1130.3982062962521</v>
      </c>
      <c r="O915" s="2">
        <f>(Supermarket_Sales_Case_Study[[#This Row],[Sales_Amount]]-Supermarket_Sales_Case_Study[[#This Row],[Purchase]])/Supermarket_Sales_Case_Study[[#This Row],[Sales_Amount]]</f>
        <v>0.30000000000000127</v>
      </c>
      <c r="P915">
        <f>Supermarket_Sales_Case_Study[[#This Row],[Quantity]]*Supermarket_Sales_Case_Study[[#This Row],[Sales_Amount]]</f>
        <v>9689.1274825393211</v>
      </c>
    </row>
    <row r="916" spans="1:16" x14ac:dyDescent="0.3">
      <c r="A916" t="s">
        <v>946</v>
      </c>
      <c r="B916" t="s">
        <v>21</v>
      </c>
      <c r="C916" t="s">
        <v>15</v>
      </c>
      <c r="D916">
        <v>2091</v>
      </c>
      <c r="E916" t="s">
        <v>16</v>
      </c>
      <c r="F916" t="s">
        <v>17</v>
      </c>
      <c r="G916" t="s">
        <v>31</v>
      </c>
      <c r="H916" s="1">
        <v>45357</v>
      </c>
      <c r="I916">
        <v>200.83594531975399</v>
      </c>
      <c r="J916">
        <v>7</v>
      </c>
      <c r="K916">
        <v>1405.8516172382699</v>
      </c>
      <c r="L916">
        <v>421.75548517148297</v>
      </c>
      <c r="M916" t="s">
        <v>19</v>
      </c>
      <c r="N916">
        <f>Supermarket_Sales_Case_Study[[#This Row],[Sales_Amount]]-Supermarket_Sales_Case_Study[[#This Row],[Profit]]</f>
        <v>984.09613206678694</v>
      </c>
      <c r="O916" s="2">
        <f>(Supermarket_Sales_Case_Study[[#This Row],[Sales_Amount]]-Supermarket_Sales_Case_Study[[#This Row],[Purchase]])/Supermarket_Sales_Case_Study[[#This Row],[Sales_Amount]]</f>
        <v>0.30000000000000143</v>
      </c>
      <c r="P916">
        <f>Supermarket_Sales_Case_Study[[#This Row],[Quantity]]*Supermarket_Sales_Case_Study[[#This Row],[Sales_Amount]]</f>
        <v>9840.9613206678896</v>
      </c>
    </row>
    <row r="917" spans="1:16" x14ac:dyDescent="0.3">
      <c r="A917" t="s">
        <v>947</v>
      </c>
      <c r="B917" t="s">
        <v>21</v>
      </c>
      <c r="C917" t="s">
        <v>36</v>
      </c>
      <c r="D917">
        <v>2468</v>
      </c>
      <c r="E917" t="s">
        <v>26</v>
      </c>
      <c r="F917" t="s">
        <v>22</v>
      </c>
      <c r="G917" t="s">
        <v>33</v>
      </c>
      <c r="H917" s="1">
        <v>45361</v>
      </c>
      <c r="I917">
        <v>12.3371399692147</v>
      </c>
      <c r="J917">
        <v>9</v>
      </c>
      <c r="K917">
        <v>111.03425972293201</v>
      </c>
      <c r="L917">
        <v>33.310277916879798</v>
      </c>
      <c r="M917" t="s">
        <v>34</v>
      </c>
      <c r="N917">
        <f>Supermarket_Sales_Case_Study[[#This Row],[Sales_Amount]]-Supermarket_Sales_Case_Study[[#This Row],[Profit]]</f>
        <v>77.723981806052208</v>
      </c>
      <c r="O917" s="2">
        <f>(Supermarket_Sales_Case_Study[[#This Row],[Sales_Amount]]-Supermarket_Sales_Case_Study[[#This Row],[Purchase]])/Supermarket_Sales_Case_Study[[#This Row],[Sales_Amount]]</f>
        <v>0.30000000000000177</v>
      </c>
      <c r="P917">
        <f>Supermarket_Sales_Case_Study[[#This Row],[Quantity]]*Supermarket_Sales_Case_Study[[#This Row],[Sales_Amount]]</f>
        <v>999.30833750638806</v>
      </c>
    </row>
    <row r="918" spans="1:16" x14ac:dyDescent="0.3">
      <c r="A918" t="s">
        <v>948</v>
      </c>
      <c r="B918" t="s">
        <v>14</v>
      </c>
      <c r="C918" t="s">
        <v>15</v>
      </c>
      <c r="D918">
        <v>1444</v>
      </c>
      <c r="E918" t="s">
        <v>16</v>
      </c>
      <c r="F918" t="s">
        <v>22</v>
      </c>
      <c r="G918" t="s">
        <v>33</v>
      </c>
      <c r="H918" s="1">
        <v>45332</v>
      </c>
      <c r="I918">
        <v>283.52069865877201</v>
      </c>
      <c r="J918">
        <v>8</v>
      </c>
      <c r="K918">
        <v>2268.1655892701801</v>
      </c>
      <c r="L918">
        <v>680.449676781054</v>
      </c>
      <c r="M918" t="s">
        <v>24</v>
      </c>
      <c r="N918">
        <f>Supermarket_Sales_Case_Study[[#This Row],[Sales_Amount]]-Supermarket_Sales_Case_Study[[#This Row],[Profit]]</f>
        <v>1587.7159124891261</v>
      </c>
      <c r="O918" s="2">
        <f>(Supermarket_Sales_Case_Study[[#This Row],[Sales_Amount]]-Supermarket_Sales_Case_Study[[#This Row],[Purchase]])/Supermarket_Sales_Case_Study[[#This Row],[Sales_Amount]]</f>
        <v>0.3</v>
      </c>
      <c r="P918">
        <f>Supermarket_Sales_Case_Study[[#This Row],[Quantity]]*Supermarket_Sales_Case_Study[[#This Row],[Sales_Amount]]</f>
        <v>18145.324714161441</v>
      </c>
    </row>
    <row r="919" spans="1:16" x14ac:dyDescent="0.3">
      <c r="A919" t="s">
        <v>949</v>
      </c>
      <c r="B919" t="s">
        <v>21</v>
      </c>
      <c r="C919" t="s">
        <v>30</v>
      </c>
      <c r="D919">
        <v>2349</v>
      </c>
      <c r="E919" t="s">
        <v>26</v>
      </c>
      <c r="F919" t="s">
        <v>22</v>
      </c>
      <c r="G919" t="s">
        <v>37</v>
      </c>
      <c r="H919" s="1">
        <v>45354</v>
      </c>
      <c r="I919">
        <v>78.771895133536205</v>
      </c>
      <c r="J919">
        <v>6</v>
      </c>
      <c r="K919">
        <v>472.63137080121697</v>
      </c>
      <c r="L919">
        <v>141.78941124036501</v>
      </c>
      <c r="M919" t="s">
        <v>34</v>
      </c>
      <c r="N919">
        <f>Supermarket_Sales_Case_Study[[#This Row],[Sales_Amount]]-Supermarket_Sales_Case_Study[[#This Row],[Profit]]</f>
        <v>330.84195956085193</v>
      </c>
      <c r="O919" s="2">
        <f>(Supermarket_Sales_Case_Study[[#This Row],[Sales_Amount]]-Supermarket_Sales_Case_Study[[#This Row],[Purchase]])/Supermarket_Sales_Case_Study[[#This Row],[Sales_Amount]]</f>
        <v>0.29999999999999988</v>
      </c>
      <c r="P919">
        <f>Supermarket_Sales_Case_Study[[#This Row],[Quantity]]*Supermarket_Sales_Case_Study[[#This Row],[Sales_Amount]]</f>
        <v>2835.788224807302</v>
      </c>
    </row>
    <row r="920" spans="1:16" x14ac:dyDescent="0.3">
      <c r="A920" t="s">
        <v>950</v>
      </c>
      <c r="B920" t="s">
        <v>14</v>
      </c>
      <c r="C920" t="s">
        <v>30</v>
      </c>
      <c r="D920">
        <v>1707</v>
      </c>
      <c r="E920" t="s">
        <v>26</v>
      </c>
      <c r="F920" t="s">
        <v>17</v>
      </c>
      <c r="G920" t="s">
        <v>31</v>
      </c>
      <c r="H920" s="1">
        <v>45323</v>
      </c>
      <c r="I920">
        <v>41.208113580358997</v>
      </c>
      <c r="J920">
        <v>3</v>
      </c>
      <c r="K920">
        <v>123.62434074107701</v>
      </c>
      <c r="L920">
        <v>37.087302222323103</v>
      </c>
      <c r="M920" t="s">
        <v>19</v>
      </c>
      <c r="N920">
        <f>Supermarket_Sales_Case_Study[[#This Row],[Sales_Amount]]-Supermarket_Sales_Case_Study[[#This Row],[Profit]]</f>
        <v>86.537038518753903</v>
      </c>
      <c r="O920" s="2">
        <f>(Supermarket_Sales_Case_Study[[#This Row],[Sales_Amount]]-Supermarket_Sales_Case_Study[[#This Row],[Purchase]])/Supermarket_Sales_Case_Study[[#This Row],[Sales_Amount]]</f>
        <v>0.3</v>
      </c>
      <c r="P920">
        <f>Supermarket_Sales_Case_Study[[#This Row],[Quantity]]*Supermarket_Sales_Case_Study[[#This Row],[Sales_Amount]]</f>
        <v>370.87302222323103</v>
      </c>
    </row>
    <row r="921" spans="1:16" x14ac:dyDescent="0.3">
      <c r="A921" t="s">
        <v>951</v>
      </c>
      <c r="B921" t="s">
        <v>14</v>
      </c>
      <c r="C921" t="s">
        <v>30</v>
      </c>
      <c r="D921">
        <v>1601</v>
      </c>
      <c r="E921" t="s">
        <v>16</v>
      </c>
      <c r="F921" t="s">
        <v>22</v>
      </c>
      <c r="G921" t="s">
        <v>37</v>
      </c>
      <c r="H921" s="1">
        <v>45311</v>
      </c>
      <c r="I921">
        <v>232.75717173045501</v>
      </c>
      <c r="J921">
        <v>8</v>
      </c>
      <c r="K921">
        <v>1862.0573738436401</v>
      </c>
      <c r="L921">
        <v>558.61721215309399</v>
      </c>
      <c r="M921" t="s">
        <v>24</v>
      </c>
      <c r="N921">
        <f>Supermarket_Sales_Case_Study[[#This Row],[Sales_Amount]]-Supermarket_Sales_Case_Study[[#This Row],[Profit]]</f>
        <v>1303.4401616905461</v>
      </c>
      <c r="O921" s="2">
        <f>(Supermarket_Sales_Case_Study[[#This Row],[Sales_Amount]]-Supermarket_Sales_Case_Study[[#This Row],[Purchase]])/Supermarket_Sales_Case_Study[[#This Row],[Sales_Amount]]</f>
        <v>0.30000000000000104</v>
      </c>
      <c r="P921">
        <f>Supermarket_Sales_Case_Study[[#This Row],[Quantity]]*Supermarket_Sales_Case_Study[[#This Row],[Sales_Amount]]</f>
        <v>14896.458990749121</v>
      </c>
    </row>
    <row r="922" spans="1:16" x14ac:dyDescent="0.3">
      <c r="A922" t="s">
        <v>952</v>
      </c>
      <c r="B922" t="s">
        <v>14</v>
      </c>
      <c r="C922" t="s">
        <v>36</v>
      </c>
      <c r="D922">
        <v>2382</v>
      </c>
      <c r="E922" t="s">
        <v>16</v>
      </c>
      <c r="F922" t="s">
        <v>17</v>
      </c>
      <c r="G922" t="s">
        <v>33</v>
      </c>
      <c r="H922" s="1">
        <v>45348</v>
      </c>
      <c r="I922">
        <v>155.138421601348</v>
      </c>
      <c r="J922">
        <v>7</v>
      </c>
      <c r="K922">
        <v>1085.9689512094301</v>
      </c>
      <c r="L922">
        <v>325.79068536283103</v>
      </c>
      <c r="M922" t="s">
        <v>24</v>
      </c>
      <c r="N922">
        <f>Supermarket_Sales_Case_Study[[#This Row],[Sales_Amount]]-Supermarket_Sales_Case_Study[[#This Row],[Profit]]</f>
        <v>760.17826584659906</v>
      </c>
      <c r="O922" s="2">
        <f>(Supermarket_Sales_Case_Study[[#This Row],[Sales_Amount]]-Supermarket_Sales_Case_Study[[#This Row],[Purchase]])/Supermarket_Sales_Case_Study[[#This Row],[Sales_Amount]]</f>
        <v>0.30000000000000182</v>
      </c>
      <c r="P922">
        <f>Supermarket_Sales_Case_Study[[#This Row],[Quantity]]*Supermarket_Sales_Case_Study[[#This Row],[Sales_Amount]]</f>
        <v>7601.7826584660106</v>
      </c>
    </row>
    <row r="923" spans="1:16" x14ac:dyDescent="0.3">
      <c r="A923" t="s">
        <v>953</v>
      </c>
      <c r="B923" t="s">
        <v>39</v>
      </c>
      <c r="C923" t="s">
        <v>30</v>
      </c>
      <c r="D923">
        <v>1144</v>
      </c>
      <c r="E923" t="s">
        <v>26</v>
      </c>
      <c r="F923" t="s">
        <v>22</v>
      </c>
      <c r="G923" t="s">
        <v>37</v>
      </c>
      <c r="H923" s="1">
        <v>45341</v>
      </c>
      <c r="I923">
        <v>135.79346414522499</v>
      </c>
      <c r="J923">
        <v>3</v>
      </c>
      <c r="K923">
        <v>407.38039243567499</v>
      </c>
      <c r="L923">
        <v>122.214117730702</v>
      </c>
      <c r="M923" t="s">
        <v>34</v>
      </c>
      <c r="N923">
        <f>Supermarket_Sales_Case_Study[[#This Row],[Sales_Amount]]-Supermarket_Sales_Case_Study[[#This Row],[Profit]]</f>
        <v>285.16627470497298</v>
      </c>
      <c r="O923" s="2">
        <f>(Supermarket_Sales_Case_Study[[#This Row],[Sales_Amount]]-Supermarket_Sales_Case_Study[[#This Row],[Purchase]])/Supermarket_Sales_Case_Study[[#This Row],[Sales_Amount]]</f>
        <v>0.29999999999999882</v>
      </c>
      <c r="P923">
        <f>Supermarket_Sales_Case_Study[[#This Row],[Quantity]]*Supermarket_Sales_Case_Study[[#This Row],[Sales_Amount]]</f>
        <v>1222.1411773070249</v>
      </c>
    </row>
    <row r="924" spans="1:16" x14ac:dyDescent="0.3">
      <c r="A924" t="s">
        <v>954</v>
      </c>
      <c r="B924" t="s">
        <v>39</v>
      </c>
      <c r="C924" t="s">
        <v>15</v>
      </c>
      <c r="D924">
        <v>1274</v>
      </c>
      <c r="E924" t="s">
        <v>16</v>
      </c>
      <c r="F924" t="s">
        <v>22</v>
      </c>
      <c r="G924" t="s">
        <v>23</v>
      </c>
      <c r="H924" s="1">
        <v>45371</v>
      </c>
      <c r="I924">
        <v>82.355893107995101</v>
      </c>
      <c r="J924">
        <v>9</v>
      </c>
      <c r="K924">
        <v>741.20303797195595</v>
      </c>
      <c r="L924">
        <v>222.360911391586</v>
      </c>
      <c r="M924" t="s">
        <v>24</v>
      </c>
      <c r="N924">
        <f>Supermarket_Sales_Case_Study[[#This Row],[Sales_Amount]]-Supermarket_Sales_Case_Study[[#This Row],[Profit]]</f>
        <v>518.84212658036995</v>
      </c>
      <c r="O924" s="2">
        <f>(Supermarket_Sales_Case_Study[[#This Row],[Sales_Amount]]-Supermarket_Sales_Case_Study[[#This Row],[Purchase]])/Supermarket_Sales_Case_Study[[#This Row],[Sales_Amount]]</f>
        <v>0.29999999999999893</v>
      </c>
      <c r="P924">
        <f>Supermarket_Sales_Case_Study[[#This Row],[Quantity]]*Supermarket_Sales_Case_Study[[#This Row],[Sales_Amount]]</f>
        <v>6670.8273417476039</v>
      </c>
    </row>
    <row r="925" spans="1:16" x14ac:dyDescent="0.3">
      <c r="A925" t="s">
        <v>955</v>
      </c>
      <c r="B925" t="s">
        <v>39</v>
      </c>
      <c r="C925" t="s">
        <v>36</v>
      </c>
      <c r="D925">
        <v>1508</v>
      </c>
      <c r="E925" t="s">
        <v>16</v>
      </c>
      <c r="F925" t="s">
        <v>17</v>
      </c>
      <c r="G925" t="s">
        <v>37</v>
      </c>
      <c r="H925" s="1">
        <v>45316</v>
      </c>
      <c r="I925">
        <v>168.766732060072</v>
      </c>
      <c r="J925">
        <v>2</v>
      </c>
      <c r="K925">
        <v>337.533464120144</v>
      </c>
      <c r="L925">
        <v>101.260039236043</v>
      </c>
      <c r="M925" t="s">
        <v>24</v>
      </c>
      <c r="N925">
        <f>Supermarket_Sales_Case_Study[[#This Row],[Sales_Amount]]-Supermarket_Sales_Case_Study[[#This Row],[Profit]]</f>
        <v>236.27342488410102</v>
      </c>
      <c r="O925" s="2">
        <f>(Supermarket_Sales_Case_Study[[#This Row],[Sales_Amount]]-Supermarket_Sales_Case_Study[[#This Row],[Purchase]])/Supermarket_Sales_Case_Study[[#This Row],[Sales_Amount]]</f>
        <v>0.29999999999999938</v>
      </c>
      <c r="P925">
        <f>Supermarket_Sales_Case_Study[[#This Row],[Quantity]]*Supermarket_Sales_Case_Study[[#This Row],[Sales_Amount]]</f>
        <v>675.06692824028801</v>
      </c>
    </row>
    <row r="926" spans="1:16" x14ac:dyDescent="0.3">
      <c r="A926" t="s">
        <v>956</v>
      </c>
      <c r="B926" t="s">
        <v>14</v>
      </c>
      <c r="C926" t="s">
        <v>15</v>
      </c>
      <c r="D926">
        <v>2202</v>
      </c>
      <c r="E926" t="s">
        <v>26</v>
      </c>
      <c r="F926" t="s">
        <v>17</v>
      </c>
      <c r="G926" t="s">
        <v>28</v>
      </c>
      <c r="H926" s="1">
        <v>45303</v>
      </c>
      <c r="I926">
        <v>89.571535508750301</v>
      </c>
      <c r="J926">
        <v>3</v>
      </c>
      <c r="K926">
        <v>268.71460652625098</v>
      </c>
      <c r="L926">
        <v>80.614381957875295</v>
      </c>
      <c r="M926" t="s">
        <v>19</v>
      </c>
      <c r="N926">
        <f>Supermarket_Sales_Case_Study[[#This Row],[Sales_Amount]]-Supermarket_Sales_Case_Study[[#This Row],[Profit]]</f>
        <v>188.10022456837567</v>
      </c>
      <c r="O926" s="2">
        <f>(Supermarket_Sales_Case_Study[[#This Row],[Sales_Amount]]-Supermarket_Sales_Case_Study[[#This Row],[Purchase]])/Supermarket_Sales_Case_Study[[#This Row],[Sales_Amount]]</f>
        <v>0.30000000000000004</v>
      </c>
      <c r="P926">
        <f>Supermarket_Sales_Case_Study[[#This Row],[Quantity]]*Supermarket_Sales_Case_Study[[#This Row],[Sales_Amount]]</f>
        <v>806.14381957875298</v>
      </c>
    </row>
    <row r="927" spans="1:16" x14ac:dyDescent="0.3">
      <c r="A927" t="s">
        <v>957</v>
      </c>
      <c r="B927" t="s">
        <v>39</v>
      </c>
      <c r="C927" t="s">
        <v>30</v>
      </c>
      <c r="D927">
        <v>1752</v>
      </c>
      <c r="E927" t="s">
        <v>26</v>
      </c>
      <c r="F927" t="s">
        <v>17</v>
      </c>
      <c r="G927" t="s">
        <v>37</v>
      </c>
      <c r="H927" s="1">
        <v>45362</v>
      </c>
      <c r="I927">
        <v>271.45907153324902</v>
      </c>
      <c r="J927">
        <v>2</v>
      </c>
      <c r="K927">
        <v>542.91814306649906</v>
      </c>
      <c r="L927">
        <v>162.87544291994899</v>
      </c>
      <c r="M927" t="s">
        <v>19</v>
      </c>
      <c r="N927">
        <f>Supermarket_Sales_Case_Study[[#This Row],[Sales_Amount]]-Supermarket_Sales_Case_Study[[#This Row],[Profit]]</f>
        <v>380.04270014655003</v>
      </c>
      <c r="O927" s="2">
        <f>(Supermarket_Sales_Case_Study[[#This Row],[Sales_Amount]]-Supermarket_Sales_Case_Study[[#This Row],[Purchase]])/Supermarket_Sales_Case_Study[[#This Row],[Sales_Amount]]</f>
        <v>0.29999999999999871</v>
      </c>
      <c r="P927">
        <f>Supermarket_Sales_Case_Study[[#This Row],[Quantity]]*Supermarket_Sales_Case_Study[[#This Row],[Sales_Amount]]</f>
        <v>1085.8362861329981</v>
      </c>
    </row>
    <row r="928" spans="1:16" x14ac:dyDescent="0.3">
      <c r="A928" t="s">
        <v>958</v>
      </c>
      <c r="B928" t="s">
        <v>39</v>
      </c>
      <c r="C928" t="s">
        <v>30</v>
      </c>
      <c r="D928">
        <v>1476</v>
      </c>
      <c r="E928" t="s">
        <v>26</v>
      </c>
      <c r="F928" t="s">
        <v>17</v>
      </c>
      <c r="G928" t="s">
        <v>28</v>
      </c>
      <c r="H928" s="1">
        <v>45330</v>
      </c>
      <c r="I928">
        <v>72.409299122625896</v>
      </c>
      <c r="J928">
        <v>1</v>
      </c>
      <c r="K928">
        <v>72.409299122625896</v>
      </c>
      <c r="L928">
        <v>21.7227897367877</v>
      </c>
      <c r="M928" t="s">
        <v>24</v>
      </c>
      <c r="N928">
        <f>Supermarket_Sales_Case_Study[[#This Row],[Sales_Amount]]-Supermarket_Sales_Case_Study[[#This Row],[Profit]]</f>
        <v>50.686509385838193</v>
      </c>
      <c r="O928" s="2">
        <f>(Supermarket_Sales_Case_Study[[#This Row],[Sales_Amount]]-Supermarket_Sales_Case_Study[[#This Row],[Purchase]])/Supermarket_Sales_Case_Study[[#This Row],[Sales_Amount]]</f>
        <v>0.2999999999999991</v>
      </c>
      <c r="P928">
        <f>Supermarket_Sales_Case_Study[[#This Row],[Quantity]]*Supermarket_Sales_Case_Study[[#This Row],[Sales_Amount]]</f>
        <v>72.409299122625896</v>
      </c>
    </row>
    <row r="929" spans="1:16" x14ac:dyDescent="0.3">
      <c r="A929" t="s">
        <v>959</v>
      </c>
      <c r="B929" t="s">
        <v>21</v>
      </c>
      <c r="C929" t="s">
        <v>30</v>
      </c>
      <c r="D929">
        <v>2437</v>
      </c>
      <c r="E929" t="s">
        <v>16</v>
      </c>
      <c r="F929" t="s">
        <v>17</v>
      </c>
      <c r="G929" t="s">
        <v>31</v>
      </c>
      <c r="H929" s="1">
        <v>45308</v>
      </c>
      <c r="I929">
        <v>266.46299363216798</v>
      </c>
      <c r="J929">
        <v>4</v>
      </c>
      <c r="K929">
        <v>1065.8519745286701</v>
      </c>
      <c r="L929">
        <v>319.75559235860197</v>
      </c>
      <c r="M929" t="s">
        <v>24</v>
      </c>
      <c r="N929">
        <f>Supermarket_Sales_Case_Study[[#This Row],[Sales_Amount]]-Supermarket_Sales_Case_Study[[#This Row],[Profit]]</f>
        <v>746.09638217006818</v>
      </c>
      <c r="O929" s="2">
        <f>(Supermarket_Sales_Case_Study[[#This Row],[Sales_Amount]]-Supermarket_Sales_Case_Study[[#This Row],[Purchase]])/Supermarket_Sales_Case_Study[[#This Row],[Sales_Amount]]</f>
        <v>0.30000000000000082</v>
      </c>
      <c r="P929">
        <f>Supermarket_Sales_Case_Study[[#This Row],[Quantity]]*Supermarket_Sales_Case_Study[[#This Row],[Sales_Amount]]</f>
        <v>4263.4078981146804</v>
      </c>
    </row>
    <row r="930" spans="1:16" x14ac:dyDescent="0.3">
      <c r="A930" t="s">
        <v>960</v>
      </c>
      <c r="B930" t="s">
        <v>39</v>
      </c>
      <c r="C930" t="s">
        <v>36</v>
      </c>
      <c r="D930">
        <v>2176</v>
      </c>
      <c r="E930" t="s">
        <v>26</v>
      </c>
      <c r="F930" t="s">
        <v>17</v>
      </c>
      <c r="G930" t="s">
        <v>33</v>
      </c>
      <c r="H930" s="1">
        <v>45336</v>
      </c>
      <c r="I930">
        <v>172.227573460933</v>
      </c>
      <c r="J930">
        <v>5</v>
      </c>
      <c r="K930">
        <v>861.137867304667</v>
      </c>
      <c r="L930">
        <v>258.34136019139999</v>
      </c>
      <c r="M930" t="s">
        <v>34</v>
      </c>
      <c r="N930">
        <f>Supermarket_Sales_Case_Study[[#This Row],[Sales_Amount]]-Supermarket_Sales_Case_Study[[#This Row],[Profit]]</f>
        <v>602.79650711326701</v>
      </c>
      <c r="O930" s="2">
        <f>(Supermarket_Sales_Case_Study[[#This Row],[Sales_Amount]]-Supermarket_Sales_Case_Study[[#This Row],[Purchase]])/Supermarket_Sales_Case_Study[[#This Row],[Sales_Amount]]</f>
        <v>0.29999999999999988</v>
      </c>
      <c r="P930">
        <f>Supermarket_Sales_Case_Study[[#This Row],[Quantity]]*Supermarket_Sales_Case_Study[[#This Row],[Sales_Amount]]</f>
        <v>4305.6893365233354</v>
      </c>
    </row>
    <row r="931" spans="1:16" x14ac:dyDescent="0.3">
      <c r="A931" t="s">
        <v>961</v>
      </c>
      <c r="B931" t="s">
        <v>39</v>
      </c>
      <c r="C931" t="s">
        <v>15</v>
      </c>
      <c r="D931">
        <v>2127</v>
      </c>
      <c r="E931" t="s">
        <v>16</v>
      </c>
      <c r="F931" t="s">
        <v>22</v>
      </c>
      <c r="G931" t="s">
        <v>18</v>
      </c>
      <c r="H931" s="1">
        <v>45302</v>
      </c>
      <c r="I931">
        <v>250.26155882961899</v>
      </c>
      <c r="J931">
        <v>6</v>
      </c>
      <c r="K931">
        <v>1501.56935297771</v>
      </c>
      <c r="L931">
        <v>450.470805893315</v>
      </c>
      <c r="M931" t="s">
        <v>34</v>
      </c>
      <c r="N931">
        <f>Supermarket_Sales_Case_Study[[#This Row],[Sales_Amount]]-Supermarket_Sales_Case_Study[[#This Row],[Profit]]</f>
        <v>1051.098547084395</v>
      </c>
      <c r="O931" s="2">
        <f>(Supermarket_Sales_Case_Study[[#This Row],[Sales_Amount]]-Supermarket_Sales_Case_Study[[#This Row],[Purchase]])/Supermarket_Sales_Case_Study[[#This Row],[Sales_Amount]]</f>
        <v>0.30000000000000132</v>
      </c>
      <c r="P931">
        <f>Supermarket_Sales_Case_Study[[#This Row],[Quantity]]*Supermarket_Sales_Case_Study[[#This Row],[Sales_Amount]]</f>
        <v>9009.4161178662598</v>
      </c>
    </row>
    <row r="932" spans="1:16" x14ac:dyDescent="0.3">
      <c r="A932" t="s">
        <v>962</v>
      </c>
      <c r="B932" t="s">
        <v>14</v>
      </c>
      <c r="C932" t="s">
        <v>36</v>
      </c>
      <c r="D932">
        <v>2098</v>
      </c>
      <c r="E932" t="s">
        <v>26</v>
      </c>
      <c r="F932" t="s">
        <v>22</v>
      </c>
      <c r="G932" t="s">
        <v>18</v>
      </c>
      <c r="H932" s="1">
        <v>45361</v>
      </c>
      <c r="I932">
        <v>216.725338799676</v>
      </c>
      <c r="J932">
        <v>5</v>
      </c>
      <c r="K932">
        <v>1083.62669399838</v>
      </c>
      <c r="L932">
        <v>325.088008199515</v>
      </c>
      <c r="M932" t="s">
        <v>24</v>
      </c>
      <c r="N932">
        <f>Supermarket_Sales_Case_Study[[#This Row],[Sales_Amount]]-Supermarket_Sales_Case_Study[[#This Row],[Profit]]</f>
        <v>758.538685798865</v>
      </c>
      <c r="O932" s="2">
        <f>(Supermarket_Sales_Case_Study[[#This Row],[Sales_Amount]]-Supermarket_Sales_Case_Study[[#This Row],[Purchase]])/Supermarket_Sales_Case_Study[[#This Row],[Sales_Amount]]</f>
        <v>0.30000000000000093</v>
      </c>
      <c r="P932">
        <f>Supermarket_Sales_Case_Study[[#This Row],[Quantity]]*Supermarket_Sales_Case_Study[[#This Row],[Sales_Amount]]</f>
        <v>5418.1334699918998</v>
      </c>
    </row>
    <row r="933" spans="1:16" x14ac:dyDescent="0.3">
      <c r="A933" t="s">
        <v>963</v>
      </c>
      <c r="B933" t="s">
        <v>14</v>
      </c>
      <c r="C933" t="s">
        <v>36</v>
      </c>
      <c r="D933">
        <v>2151</v>
      </c>
      <c r="E933" t="s">
        <v>26</v>
      </c>
      <c r="F933" t="s">
        <v>17</v>
      </c>
      <c r="G933" t="s">
        <v>33</v>
      </c>
      <c r="H933" s="1">
        <v>45314</v>
      </c>
      <c r="I933">
        <v>212.04158231665701</v>
      </c>
      <c r="J933">
        <v>1</v>
      </c>
      <c r="K933">
        <v>212.04158231665701</v>
      </c>
      <c r="L933">
        <v>63.612474694997097</v>
      </c>
      <c r="M933" t="s">
        <v>19</v>
      </c>
      <c r="N933">
        <f>Supermarket_Sales_Case_Study[[#This Row],[Sales_Amount]]-Supermarket_Sales_Case_Study[[#This Row],[Profit]]</f>
        <v>148.42910762165991</v>
      </c>
      <c r="O933" s="2">
        <f>(Supermarket_Sales_Case_Study[[#This Row],[Sales_Amount]]-Supermarket_Sales_Case_Study[[#This Row],[Purchase]])/Supermarket_Sales_Case_Study[[#This Row],[Sales_Amount]]</f>
        <v>0.3</v>
      </c>
      <c r="P933">
        <f>Supermarket_Sales_Case_Study[[#This Row],[Quantity]]*Supermarket_Sales_Case_Study[[#This Row],[Sales_Amount]]</f>
        <v>212.04158231665701</v>
      </c>
    </row>
    <row r="934" spans="1:16" x14ac:dyDescent="0.3">
      <c r="A934" t="s">
        <v>964</v>
      </c>
      <c r="B934" t="s">
        <v>14</v>
      </c>
      <c r="C934" t="s">
        <v>30</v>
      </c>
      <c r="D934">
        <v>1665</v>
      </c>
      <c r="E934" t="s">
        <v>26</v>
      </c>
      <c r="F934" t="s">
        <v>22</v>
      </c>
      <c r="G934" t="s">
        <v>18</v>
      </c>
      <c r="H934" s="1">
        <v>45361</v>
      </c>
      <c r="I934">
        <v>104.060284231566</v>
      </c>
      <c r="J934">
        <v>3</v>
      </c>
      <c r="K934">
        <v>312.18085269469799</v>
      </c>
      <c r="L934">
        <v>93.654255808409502</v>
      </c>
      <c r="M934" t="s">
        <v>24</v>
      </c>
      <c r="N934">
        <f>Supermarket_Sales_Case_Study[[#This Row],[Sales_Amount]]-Supermarket_Sales_Case_Study[[#This Row],[Profit]]</f>
        <v>218.52659688628847</v>
      </c>
      <c r="O934" s="2">
        <f>(Supermarket_Sales_Case_Study[[#This Row],[Sales_Amount]]-Supermarket_Sales_Case_Study[[#This Row],[Purchase]])/Supermarket_Sales_Case_Study[[#This Row],[Sales_Amount]]</f>
        <v>0.30000000000000038</v>
      </c>
      <c r="P934">
        <f>Supermarket_Sales_Case_Study[[#This Row],[Quantity]]*Supermarket_Sales_Case_Study[[#This Row],[Sales_Amount]]</f>
        <v>936.54255808409403</v>
      </c>
    </row>
    <row r="935" spans="1:16" x14ac:dyDescent="0.3">
      <c r="A935" t="s">
        <v>965</v>
      </c>
      <c r="B935" t="s">
        <v>14</v>
      </c>
      <c r="C935" t="s">
        <v>36</v>
      </c>
      <c r="D935">
        <v>1567</v>
      </c>
      <c r="E935" t="s">
        <v>16</v>
      </c>
      <c r="F935" t="s">
        <v>17</v>
      </c>
      <c r="G935" t="s">
        <v>37</v>
      </c>
      <c r="H935" s="1">
        <v>45329</v>
      </c>
      <c r="I935">
        <v>77.830110126939005</v>
      </c>
      <c r="J935">
        <v>1</v>
      </c>
      <c r="K935">
        <v>77.830110126939005</v>
      </c>
      <c r="L935">
        <v>23.3490330380817</v>
      </c>
      <c r="M935" t="s">
        <v>24</v>
      </c>
      <c r="N935">
        <f>Supermarket_Sales_Case_Study[[#This Row],[Sales_Amount]]-Supermarket_Sales_Case_Study[[#This Row],[Profit]]</f>
        <v>54.481077088857305</v>
      </c>
      <c r="O935" s="2">
        <f>(Supermarket_Sales_Case_Study[[#This Row],[Sales_Amount]]-Supermarket_Sales_Case_Study[[#This Row],[Purchase]])/Supermarket_Sales_Case_Study[[#This Row],[Sales_Amount]]</f>
        <v>0.3</v>
      </c>
      <c r="P935">
        <f>Supermarket_Sales_Case_Study[[#This Row],[Quantity]]*Supermarket_Sales_Case_Study[[#This Row],[Sales_Amount]]</f>
        <v>77.830110126939005</v>
      </c>
    </row>
    <row r="936" spans="1:16" x14ac:dyDescent="0.3">
      <c r="A936" t="s">
        <v>966</v>
      </c>
      <c r="B936" t="s">
        <v>14</v>
      </c>
      <c r="C936" t="s">
        <v>36</v>
      </c>
      <c r="D936">
        <v>2368</v>
      </c>
      <c r="E936" t="s">
        <v>16</v>
      </c>
      <c r="F936" t="s">
        <v>22</v>
      </c>
      <c r="G936" t="s">
        <v>31</v>
      </c>
      <c r="H936" s="1">
        <v>45293</v>
      </c>
      <c r="I936">
        <v>71.157006027428494</v>
      </c>
      <c r="J936">
        <v>5</v>
      </c>
      <c r="K936">
        <v>355.78503013714197</v>
      </c>
      <c r="L936">
        <v>106.735509041142</v>
      </c>
      <c r="M936" t="s">
        <v>19</v>
      </c>
      <c r="N936">
        <f>Supermarket_Sales_Case_Study[[#This Row],[Sales_Amount]]-Supermarket_Sales_Case_Study[[#This Row],[Profit]]</f>
        <v>249.04952109599998</v>
      </c>
      <c r="O936" s="2">
        <f>(Supermarket_Sales_Case_Study[[#This Row],[Sales_Amount]]-Supermarket_Sales_Case_Study[[#This Row],[Purchase]])/Supermarket_Sales_Case_Study[[#This Row],[Sales_Amount]]</f>
        <v>0.29999999999999832</v>
      </c>
      <c r="P936">
        <f>Supermarket_Sales_Case_Study[[#This Row],[Quantity]]*Supermarket_Sales_Case_Study[[#This Row],[Sales_Amount]]</f>
        <v>1778.9251506857099</v>
      </c>
    </row>
    <row r="937" spans="1:16" x14ac:dyDescent="0.3">
      <c r="A937" t="s">
        <v>967</v>
      </c>
      <c r="B937" t="s">
        <v>14</v>
      </c>
      <c r="C937" t="s">
        <v>30</v>
      </c>
      <c r="D937">
        <v>1530</v>
      </c>
      <c r="E937" t="s">
        <v>26</v>
      </c>
      <c r="F937" t="s">
        <v>22</v>
      </c>
      <c r="G937" t="s">
        <v>31</v>
      </c>
      <c r="H937" s="1">
        <v>45377</v>
      </c>
      <c r="I937">
        <v>258.58558054728002</v>
      </c>
      <c r="J937">
        <v>5</v>
      </c>
      <c r="K937">
        <v>1292.9279027364</v>
      </c>
      <c r="L937">
        <v>387.87837082092102</v>
      </c>
      <c r="M937" t="s">
        <v>19</v>
      </c>
      <c r="N937">
        <f>Supermarket_Sales_Case_Study[[#This Row],[Sales_Amount]]-Supermarket_Sales_Case_Study[[#This Row],[Profit]]</f>
        <v>905.04953191547906</v>
      </c>
      <c r="O937" s="2">
        <f>(Supermarket_Sales_Case_Study[[#This Row],[Sales_Amount]]-Supermarket_Sales_Case_Study[[#This Row],[Purchase]])/Supermarket_Sales_Case_Study[[#This Row],[Sales_Amount]]</f>
        <v>0.30000000000000077</v>
      </c>
      <c r="P937">
        <f>Supermarket_Sales_Case_Study[[#This Row],[Quantity]]*Supermarket_Sales_Case_Study[[#This Row],[Sales_Amount]]</f>
        <v>6464.6395136820001</v>
      </c>
    </row>
    <row r="938" spans="1:16" x14ac:dyDescent="0.3">
      <c r="A938" t="s">
        <v>968</v>
      </c>
      <c r="B938" t="s">
        <v>39</v>
      </c>
      <c r="C938" t="s">
        <v>36</v>
      </c>
      <c r="D938">
        <v>1158</v>
      </c>
      <c r="E938" t="s">
        <v>26</v>
      </c>
      <c r="F938" t="s">
        <v>17</v>
      </c>
      <c r="G938" t="s">
        <v>33</v>
      </c>
      <c r="H938" s="1">
        <v>45375</v>
      </c>
      <c r="I938">
        <v>247.92377787511501</v>
      </c>
      <c r="J938">
        <v>6</v>
      </c>
      <c r="K938">
        <v>1487.5426672506901</v>
      </c>
      <c r="L938">
        <v>446.26280017520799</v>
      </c>
      <c r="M938" t="s">
        <v>34</v>
      </c>
      <c r="N938">
        <f>Supermarket_Sales_Case_Study[[#This Row],[Sales_Amount]]-Supermarket_Sales_Case_Study[[#This Row],[Profit]]</f>
        <v>1041.2798670754821</v>
      </c>
      <c r="O938" s="2">
        <f>(Supermarket_Sales_Case_Study[[#This Row],[Sales_Amount]]-Supermarket_Sales_Case_Study[[#This Row],[Purchase]])/Supermarket_Sales_Case_Study[[#This Row],[Sales_Amount]]</f>
        <v>0.30000000000000066</v>
      </c>
      <c r="P938">
        <f>Supermarket_Sales_Case_Study[[#This Row],[Quantity]]*Supermarket_Sales_Case_Study[[#This Row],[Sales_Amount]]</f>
        <v>8925.2560035041406</v>
      </c>
    </row>
    <row r="939" spans="1:16" x14ac:dyDescent="0.3">
      <c r="A939" t="s">
        <v>969</v>
      </c>
      <c r="B939" t="s">
        <v>14</v>
      </c>
      <c r="C939" t="s">
        <v>30</v>
      </c>
      <c r="D939">
        <v>2449</v>
      </c>
      <c r="E939" t="s">
        <v>26</v>
      </c>
      <c r="F939" t="s">
        <v>17</v>
      </c>
      <c r="G939" t="s">
        <v>18</v>
      </c>
      <c r="H939" s="1">
        <v>45380</v>
      </c>
      <c r="I939">
        <v>137.76632312356901</v>
      </c>
      <c r="J939">
        <v>8</v>
      </c>
      <c r="K939">
        <v>1102.13058498855</v>
      </c>
      <c r="L939">
        <v>330.63917549656497</v>
      </c>
      <c r="M939" t="s">
        <v>34</v>
      </c>
      <c r="N939">
        <f>Supermarket_Sales_Case_Study[[#This Row],[Sales_Amount]]-Supermarket_Sales_Case_Study[[#This Row],[Profit]]</f>
        <v>771.491409491985</v>
      </c>
      <c r="O939" s="2">
        <f>(Supermarket_Sales_Case_Study[[#This Row],[Sales_Amount]]-Supermarket_Sales_Case_Study[[#This Row],[Purchase]])/Supermarket_Sales_Case_Study[[#This Row],[Sales_Amount]]</f>
        <v>0.30000000000000004</v>
      </c>
      <c r="P939">
        <f>Supermarket_Sales_Case_Study[[#This Row],[Quantity]]*Supermarket_Sales_Case_Study[[#This Row],[Sales_Amount]]</f>
        <v>8817.0446799084002</v>
      </c>
    </row>
    <row r="940" spans="1:16" x14ac:dyDescent="0.3">
      <c r="A940" t="s">
        <v>970</v>
      </c>
      <c r="B940" t="s">
        <v>14</v>
      </c>
      <c r="C940" t="s">
        <v>30</v>
      </c>
      <c r="D940">
        <v>1680</v>
      </c>
      <c r="E940" t="s">
        <v>16</v>
      </c>
      <c r="F940" t="s">
        <v>17</v>
      </c>
      <c r="G940" t="s">
        <v>37</v>
      </c>
      <c r="H940" s="1">
        <v>45370</v>
      </c>
      <c r="I940">
        <v>48.397337913971803</v>
      </c>
      <c r="J940">
        <v>1</v>
      </c>
      <c r="K940">
        <v>48.397337913971803</v>
      </c>
      <c r="L940">
        <v>14.5192013741915</v>
      </c>
      <c r="M940" t="s">
        <v>34</v>
      </c>
      <c r="N940">
        <f>Supermarket_Sales_Case_Study[[#This Row],[Sales_Amount]]-Supermarket_Sales_Case_Study[[#This Row],[Profit]]</f>
        <v>33.8781365397803</v>
      </c>
      <c r="O940" s="2">
        <f>(Supermarket_Sales_Case_Study[[#This Row],[Sales_Amount]]-Supermarket_Sales_Case_Study[[#This Row],[Purchase]])/Supermarket_Sales_Case_Study[[#This Row],[Sales_Amount]]</f>
        <v>0.29999999999999921</v>
      </c>
      <c r="P940">
        <f>Supermarket_Sales_Case_Study[[#This Row],[Quantity]]*Supermarket_Sales_Case_Study[[#This Row],[Sales_Amount]]</f>
        <v>48.397337913971803</v>
      </c>
    </row>
    <row r="941" spans="1:16" x14ac:dyDescent="0.3">
      <c r="A941" t="s">
        <v>971</v>
      </c>
      <c r="B941" t="s">
        <v>21</v>
      </c>
      <c r="C941" t="s">
        <v>30</v>
      </c>
      <c r="D941">
        <v>1022</v>
      </c>
      <c r="E941" t="s">
        <v>26</v>
      </c>
      <c r="F941" t="s">
        <v>22</v>
      </c>
      <c r="G941" t="s">
        <v>31</v>
      </c>
      <c r="H941" s="1">
        <v>45363</v>
      </c>
      <c r="I941">
        <v>120.853153073462</v>
      </c>
      <c r="J941">
        <v>4</v>
      </c>
      <c r="K941">
        <v>483.412612293851</v>
      </c>
      <c r="L941">
        <v>145.02378368815499</v>
      </c>
      <c r="M941" t="s">
        <v>34</v>
      </c>
      <c r="N941">
        <f>Supermarket_Sales_Case_Study[[#This Row],[Sales_Amount]]-Supermarket_Sales_Case_Study[[#This Row],[Profit]]</f>
        <v>338.38882860569601</v>
      </c>
      <c r="O941" s="2">
        <f>(Supermarket_Sales_Case_Study[[#This Row],[Sales_Amount]]-Supermarket_Sales_Case_Study[[#This Row],[Purchase]])/Supermarket_Sales_Case_Study[[#This Row],[Sales_Amount]]</f>
        <v>0.29999999999999938</v>
      </c>
      <c r="P941">
        <f>Supermarket_Sales_Case_Study[[#This Row],[Quantity]]*Supermarket_Sales_Case_Study[[#This Row],[Sales_Amount]]</f>
        <v>1933.650449175404</v>
      </c>
    </row>
    <row r="942" spans="1:16" x14ac:dyDescent="0.3">
      <c r="A942" t="s">
        <v>972</v>
      </c>
      <c r="B942" t="s">
        <v>39</v>
      </c>
      <c r="C942" t="s">
        <v>30</v>
      </c>
      <c r="D942">
        <v>2070</v>
      </c>
      <c r="E942" t="s">
        <v>16</v>
      </c>
      <c r="F942" t="s">
        <v>17</v>
      </c>
      <c r="G942" t="s">
        <v>31</v>
      </c>
      <c r="H942" s="1">
        <v>45328</v>
      </c>
      <c r="I942">
        <v>189.609601699704</v>
      </c>
      <c r="J942">
        <v>1</v>
      </c>
      <c r="K942">
        <v>189.609601699704</v>
      </c>
      <c r="L942">
        <v>56.882880509911203</v>
      </c>
      <c r="M942" t="s">
        <v>19</v>
      </c>
      <c r="N942">
        <f>Supermarket_Sales_Case_Study[[#This Row],[Sales_Amount]]-Supermarket_Sales_Case_Study[[#This Row],[Profit]]</f>
        <v>132.72672118979278</v>
      </c>
      <c r="O942" s="2">
        <f>(Supermarket_Sales_Case_Study[[#This Row],[Sales_Amount]]-Supermarket_Sales_Case_Study[[#This Row],[Purchase]])/Supermarket_Sales_Case_Study[[#This Row],[Sales_Amount]]</f>
        <v>0.3000000000000001</v>
      </c>
      <c r="P942">
        <f>Supermarket_Sales_Case_Study[[#This Row],[Quantity]]*Supermarket_Sales_Case_Study[[#This Row],[Sales_Amount]]</f>
        <v>189.609601699704</v>
      </c>
    </row>
    <row r="943" spans="1:16" x14ac:dyDescent="0.3">
      <c r="A943" t="s">
        <v>973</v>
      </c>
      <c r="B943" t="s">
        <v>39</v>
      </c>
      <c r="C943" t="s">
        <v>36</v>
      </c>
      <c r="D943">
        <v>1524</v>
      </c>
      <c r="E943" t="s">
        <v>26</v>
      </c>
      <c r="F943" t="s">
        <v>22</v>
      </c>
      <c r="G943" t="s">
        <v>23</v>
      </c>
      <c r="H943" s="1">
        <v>45340</v>
      </c>
      <c r="I943">
        <v>141.77691479918599</v>
      </c>
      <c r="J943">
        <v>9</v>
      </c>
      <c r="K943">
        <v>1275.99223319267</v>
      </c>
      <c r="L943">
        <v>382.79766995780301</v>
      </c>
      <c r="M943" t="s">
        <v>24</v>
      </c>
      <c r="N943">
        <f>Supermarket_Sales_Case_Study[[#This Row],[Sales_Amount]]-Supermarket_Sales_Case_Study[[#This Row],[Profit]]</f>
        <v>893.19456323486702</v>
      </c>
      <c r="O943" s="2">
        <f>(Supermarket_Sales_Case_Study[[#This Row],[Sales_Amount]]-Supermarket_Sales_Case_Study[[#This Row],[Purchase]])/Supermarket_Sales_Case_Study[[#This Row],[Sales_Amount]]</f>
        <v>0.30000000000000154</v>
      </c>
      <c r="P943">
        <f>Supermarket_Sales_Case_Study[[#This Row],[Quantity]]*Supermarket_Sales_Case_Study[[#This Row],[Sales_Amount]]</f>
        <v>11483.93009873403</v>
      </c>
    </row>
    <row r="944" spans="1:16" x14ac:dyDescent="0.3">
      <c r="A944" t="s">
        <v>974</v>
      </c>
      <c r="B944" t="s">
        <v>39</v>
      </c>
      <c r="C944" t="s">
        <v>30</v>
      </c>
      <c r="D944">
        <v>1728</v>
      </c>
      <c r="E944" t="s">
        <v>26</v>
      </c>
      <c r="F944" t="s">
        <v>17</v>
      </c>
      <c r="G944" t="s">
        <v>23</v>
      </c>
      <c r="H944" s="1">
        <v>45343</v>
      </c>
      <c r="I944">
        <v>236.25488786006801</v>
      </c>
      <c r="J944">
        <v>7</v>
      </c>
      <c r="K944">
        <v>1653.7842150204799</v>
      </c>
      <c r="L944">
        <v>496.13526450614302</v>
      </c>
      <c r="M944" t="s">
        <v>34</v>
      </c>
      <c r="N944">
        <f>Supermarket_Sales_Case_Study[[#This Row],[Sales_Amount]]-Supermarket_Sales_Case_Study[[#This Row],[Profit]]</f>
        <v>1157.6489505143368</v>
      </c>
      <c r="O944" s="2">
        <f>(Supermarket_Sales_Case_Study[[#This Row],[Sales_Amount]]-Supermarket_Sales_Case_Study[[#This Row],[Purchase]])/Supermarket_Sales_Case_Study[[#This Row],[Sales_Amount]]</f>
        <v>0.29999999999999949</v>
      </c>
      <c r="P944">
        <f>Supermarket_Sales_Case_Study[[#This Row],[Quantity]]*Supermarket_Sales_Case_Study[[#This Row],[Sales_Amount]]</f>
        <v>11576.48950514336</v>
      </c>
    </row>
    <row r="945" spans="1:16" x14ac:dyDescent="0.3">
      <c r="A945" t="s">
        <v>975</v>
      </c>
      <c r="B945" t="s">
        <v>14</v>
      </c>
      <c r="C945" t="s">
        <v>30</v>
      </c>
      <c r="D945">
        <v>1143</v>
      </c>
      <c r="E945" t="s">
        <v>26</v>
      </c>
      <c r="F945" t="s">
        <v>22</v>
      </c>
      <c r="G945" t="s">
        <v>31</v>
      </c>
      <c r="H945" s="1">
        <v>45324</v>
      </c>
      <c r="I945">
        <v>299.310618452901</v>
      </c>
      <c r="J945">
        <v>7</v>
      </c>
      <c r="K945">
        <v>2095.1743291703101</v>
      </c>
      <c r="L945">
        <v>628.55229875109296</v>
      </c>
      <c r="M945" t="s">
        <v>34</v>
      </c>
      <c r="N945">
        <f>Supermarket_Sales_Case_Study[[#This Row],[Sales_Amount]]-Supermarket_Sales_Case_Study[[#This Row],[Profit]]</f>
        <v>1466.622030419217</v>
      </c>
      <c r="O945" s="2">
        <f>(Supermarket_Sales_Case_Study[[#This Row],[Sales_Amount]]-Supermarket_Sales_Case_Study[[#This Row],[Purchase]])/Supermarket_Sales_Case_Study[[#This Row],[Sales_Amount]]</f>
        <v>0.30000000000000004</v>
      </c>
      <c r="P945">
        <f>Supermarket_Sales_Case_Study[[#This Row],[Quantity]]*Supermarket_Sales_Case_Study[[#This Row],[Sales_Amount]]</f>
        <v>14666.220304192171</v>
      </c>
    </row>
    <row r="946" spans="1:16" x14ac:dyDescent="0.3">
      <c r="A946" t="s">
        <v>976</v>
      </c>
      <c r="B946" t="s">
        <v>14</v>
      </c>
      <c r="C946" t="s">
        <v>36</v>
      </c>
      <c r="D946">
        <v>1667</v>
      </c>
      <c r="E946" t="s">
        <v>26</v>
      </c>
      <c r="F946" t="s">
        <v>22</v>
      </c>
      <c r="G946" t="s">
        <v>33</v>
      </c>
      <c r="H946" s="1">
        <v>45313</v>
      </c>
      <c r="I946">
        <v>65.428305650179993</v>
      </c>
      <c r="J946">
        <v>5</v>
      </c>
      <c r="K946">
        <v>327.14152825090002</v>
      </c>
      <c r="L946">
        <v>98.142458475270104</v>
      </c>
      <c r="M946" t="s">
        <v>19</v>
      </c>
      <c r="N946">
        <f>Supermarket_Sales_Case_Study[[#This Row],[Sales_Amount]]-Supermarket_Sales_Case_Study[[#This Row],[Profit]]</f>
        <v>228.99906977562992</v>
      </c>
      <c r="O946" s="2">
        <f>(Supermarket_Sales_Case_Study[[#This Row],[Sales_Amount]]-Supermarket_Sales_Case_Study[[#This Row],[Purchase]])/Supermarket_Sales_Case_Study[[#This Row],[Sales_Amount]]</f>
        <v>0.30000000000000032</v>
      </c>
      <c r="P946">
        <f>Supermarket_Sales_Case_Study[[#This Row],[Quantity]]*Supermarket_Sales_Case_Study[[#This Row],[Sales_Amount]]</f>
        <v>1635.7076412545002</v>
      </c>
    </row>
    <row r="947" spans="1:16" x14ac:dyDescent="0.3">
      <c r="A947" t="s">
        <v>977</v>
      </c>
      <c r="B947" t="s">
        <v>14</v>
      </c>
      <c r="C947" t="s">
        <v>36</v>
      </c>
      <c r="D947">
        <v>2442</v>
      </c>
      <c r="E947" t="s">
        <v>26</v>
      </c>
      <c r="F947" t="s">
        <v>17</v>
      </c>
      <c r="G947" t="s">
        <v>28</v>
      </c>
      <c r="H947" s="1">
        <v>45296</v>
      </c>
      <c r="I947">
        <v>143.298737701276</v>
      </c>
      <c r="J947">
        <v>7</v>
      </c>
      <c r="K947">
        <v>1003.09116390893</v>
      </c>
      <c r="L947">
        <v>300.92734917267899</v>
      </c>
      <c r="M947" t="s">
        <v>19</v>
      </c>
      <c r="N947">
        <f>Supermarket_Sales_Case_Study[[#This Row],[Sales_Amount]]-Supermarket_Sales_Case_Study[[#This Row],[Profit]]</f>
        <v>702.16381473625097</v>
      </c>
      <c r="O947" s="2">
        <f>(Supermarket_Sales_Case_Study[[#This Row],[Sales_Amount]]-Supermarket_Sales_Case_Study[[#This Row],[Purchase]])/Supermarket_Sales_Case_Study[[#This Row],[Sales_Amount]]</f>
        <v>0.3</v>
      </c>
      <c r="P947">
        <f>Supermarket_Sales_Case_Study[[#This Row],[Quantity]]*Supermarket_Sales_Case_Study[[#This Row],[Sales_Amount]]</f>
        <v>7021.6381473625097</v>
      </c>
    </row>
    <row r="948" spans="1:16" x14ac:dyDescent="0.3">
      <c r="A948" t="s">
        <v>978</v>
      </c>
      <c r="B948" t="s">
        <v>21</v>
      </c>
      <c r="C948" t="s">
        <v>15</v>
      </c>
      <c r="D948">
        <v>1680</v>
      </c>
      <c r="E948" t="s">
        <v>26</v>
      </c>
      <c r="F948" t="s">
        <v>22</v>
      </c>
      <c r="G948" t="s">
        <v>28</v>
      </c>
      <c r="H948" s="1">
        <v>45309</v>
      </c>
      <c r="I948">
        <v>134.98533155703799</v>
      </c>
      <c r="J948">
        <v>2</v>
      </c>
      <c r="K948">
        <v>269.97066311407599</v>
      </c>
      <c r="L948">
        <v>80.991198934222993</v>
      </c>
      <c r="M948" t="s">
        <v>24</v>
      </c>
      <c r="N948">
        <f>Supermarket_Sales_Case_Study[[#This Row],[Sales_Amount]]-Supermarket_Sales_Case_Study[[#This Row],[Profit]]</f>
        <v>188.97946417985298</v>
      </c>
      <c r="O948" s="2">
        <f>(Supermarket_Sales_Case_Study[[#This Row],[Sales_Amount]]-Supermarket_Sales_Case_Study[[#This Row],[Purchase]])/Supermarket_Sales_Case_Study[[#This Row],[Sales_Amount]]</f>
        <v>0.30000000000000077</v>
      </c>
      <c r="P948">
        <f>Supermarket_Sales_Case_Study[[#This Row],[Quantity]]*Supermarket_Sales_Case_Study[[#This Row],[Sales_Amount]]</f>
        <v>539.94132622815198</v>
      </c>
    </row>
    <row r="949" spans="1:16" x14ac:dyDescent="0.3">
      <c r="A949" t="s">
        <v>979</v>
      </c>
      <c r="B949" t="s">
        <v>14</v>
      </c>
      <c r="C949" t="s">
        <v>36</v>
      </c>
      <c r="D949">
        <v>1972</v>
      </c>
      <c r="E949" t="s">
        <v>16</v>
      </c>
      <c r="F949" t="s">
        <v>22</v>
      </c>
      <c r="G949" t="s">
        <v>37</v>
      </c>
      <c r="H949" s="1">
        <v>45329</v>
      </c>
      <c r="I949">
        <v>98.302834497195704</v>
      </c>
      <c r="J949">
        <v>4</v>
      </c>
      <c r="K949">
        <v>393.21133798878299</v>
      </c>
      <c r="L949">
        <v>117.963401396634</v>
      </c>
      <c r="M949" t="s">
        <v>24</v>
      </c>
      <c r="N949">
        <f>Supermarket_Sales_Case_Study[[#This Row],[Sales_Amount]]-Supermarket_Sales_Case_Study[[#This Row],[Profit]]</f>
        <v>275.24793659214902</v>
      </c>
      <c r="O949" s="2">
        <f>(Supermarket_Sales_Case_Study[[#This Row],[Sales_Amount]]-Supermarket_Sales_Case_Study[[#This Row],[Purchase]])/Supermarket_Sales_Case_Study[[#This Row],[Sales_Amount]]</f>
        <v>0.29999999999999766</v>
      </c>
      <c r="P949">
        <f>Supermarket_Sales_Case_Study[[#This Row],[Quantity]]*Supermarket_Sales_Case_Study[[#This Row],[Sales_Amount]]</f>
        <v>1572.8453519551319</v>
      </c>
    </row>
    <row r="950" spans="1:16" x14ac:dyDescent="0.3">
      <c r="A950" t="s">
        <v>980</v>
      </c>
      <c r="B950" t="s">
        <v>21</v>
      </c>
      <c r="C950" t="s">
        <v>36</v>
      </c>
      <c r="D950">
        <v>1798</v>
      </c>
      <c r="E950" t="s">
        <v>26</v>
      </c>
      <c r="F950" t="s">
        <v>17</v>
      </c>
      <c r="G950" t="s">
        <v>31</v>
      </c>
      <c r="H950" s="1">
        <v>45328</v>
      </c>
      <c r="I950">
        <v>67.4476998488839</v>
      </c>
      <c r="J950">
        <v>7</v>
      </c>
      <c r="K950">
        <v>472.13389894218699</v>
      </c>
      <c r="L950">
        <v>141.64016968265599</v>
      </c>
      <c r="M950" t="s">
        <v>19</v>
      </c>
      <c r="N950">
        <f>Supermarket_Sales_Case_Study[[#This Row],[Sales_Amount]]-Supermarket_Sales_Case_Study[[#This Row],[Profit]]</f>
        <v>330.49372925953099</v>
      </c>
      <c r="O950" s="2">
        <f>(Supermarket_Sales_Case_Study[[#This Row],[Sales_Amount]]-Supermarket_Sales_Case_Study[[#This Row],[Purchase]])/Supermarket_Sales_Case_Study[[#This Row],[Sales_Amount]]</f>
        <v>0.29999999999999977</v>
      </c>
      <c r="P950">
        <f>Supermarket_Sales_Case_Study[[#This Row],[Quantity]]*Supermarket_Sales_Case_Study[[#This Row],[Sales_Amount]]</f>
        <v>3304.9372925953089</v>
      </c>
    </row>
    <row r="951" spans="1:16" x14ac:dyDescent="0.3">
      <c r="A951" t="s">
        <v>981</v>
      </c>
      <c r="B951" t="s">
        <v>39</v>
      </c>
      <c r="C951" t="s">
        <v>15</v>
      </c>
      <c r="D951">
        <v>1084</v>
      </c>
      <c r="E951" t="s">
        <v>16</v>
      </c>
      <c r="F951" t="s">
        <v>22</v>
      </c>
      <c r="G951" t="s">
        <v>31</v>
      </c>
      <c r="H951" s="1">
        <v>45355</v>
      </c>
      <c r="I951">
        <v>29.0507137820011</v>
      </c>
      <c r="J951">
        <v>3</v>
      </c>
      <c r="K951">
        <v>87.152141346003503</v>
      </c>
      <c r="L951">
        <v>26.145642403800998</v>
      </c>
      <c r="M951" t="s">
        <v>34</v>
      </c>
      <c r="N951">
        <f>Supermarket_Sales_Case_Study[[#This Row],[Sales_Amount]]-Supermarket_Sales_Case_Study[[#This Row],[Profit]]</f>
        <v>61.006498942202505</v>
      </c>
      <c r="O951" s="2">
        <f>(Supermarket_Sales_Case_Study[[#This Row],[Sales_Amount]]-Supermarket_Sales_Case_Study[[#This Row],[Purchase]])/Supermarket_Sales_Case_Study[[#This Row],[Sales_Amount]]</f>
        <v>0.29999999999999938</v>
      </c>
      <c r="P951">
        <f>Supermarket_Sales_Case_Study[[#This Row],[Quantity]]*Supermarket_Sales_Case_Study[[#This Row],[Sales_Amount]]</f>
        <v>261.45642403801048</v>
      </c>
    </row>
    <row r="952" spans="1:16" x14ac:dyDescent="0.3">
      <c r="A952" t="s">
        <v>982</v>
      </c>
      <c r="B952" t="s">
        <v>14</v>
      </c>
      <c r="C952" t="s">
        <v>36</v>
      </c>
      <c r="D952">
        <v>1415</v>
      </c>
      <c r="E952" t="s">
        <v>26</v>
      </c>
      <c r="F952" t="s">
        <v>17</v>
      </c>
      <c r="G952" t="s">
        <v>31</v>
      </c>
      <c r="H952" s="1">
        <v>45301</v>
      </c>
      <c r="I952">
        <v>267.26460199487201</v>
      </c>
      <c r="J952">
        <v>2</v>
      </c>
      <c r="K952">
        <v>534.52920398974504</v>
      </c>
      <c r="L952">
        <v>160.35876119692301</v>
      </c>
      <c r="M952" t="s">
        <v>34</v>
      </c>
      <c r="N952">
        <f>Supermarket_Sales_Case_Study[[#This Row],[Sales_Amount]]-Supermarket_Sales_Case_Study[[#This Row],[Profit]]</f>
        <v>374.17044279282203</v>
      </c>
      <c r="O952" s="2">
        <f>(Supermarket_Sales_Case_Study[[#This Row],[Sales_Amount]]-Supermarket_Sales_Case_Study[[#This Row],[Purchase]])/Supermarket_Sales_Case_Study[[#This Row],[Sales_Amount]]</f>
        <v>0.29999999999999905</v>
      </c>
      <c r="P952">
        <f>Supermarket_Sales_Case_Study[[#This Row],[Quantity]]*Supermarket_Sales_Case_Study[[#This Row],[Sales_Amount]]</f>
        <v>1069.0584079794901</v>
      </c>
    </row>
    <row r="953" spans="1:16" x14ac:dyDescent="0.3">
      <c r="A953" t="s">
        <v>983</v>
      </c>
      <c r="B953" t="s">
        <v>21</v>
      </c>
      <c r="C953" t="s">
        <v>36</v>
      </c>
      <c r="D953">
        <v>1693</v>
      </c>
      <c r="E953" t="s">
        <v>26</v>
      </c>
      <c r="F953" t="s">
        <v>17</v>
      </c>
      <c r="G953" t="s">
        <v>33</v>
      </c>
      <c r="H953" s="1">
        <v>45370</v>
      </c>
      <c r="I953">
        <v>131.756122329032</v>
      </c>
      <c r="J953">
        <v>2</v>
      </c>
      <c r="K953">
        <v>263.51224465806399</v>
      </c>
      <c r="L953">
        <v>79.053673397419203</v>
      </c>
      <c r="M953" t="s">
        <v>34</v>
      </c>
      <c r="N953">
        <f>Supermarket_Sales_Case_Study[[#This Row],[Sales_Amount]]-Supermarket_Sales_Case_Study[[#This Row],[Profit]]</f>
        <v>184.45857126064479</v>
      </c>
      <c r="O953" s="2">
        <f>(Supermarket_Sales_Case_Study[[#This Row],[Sales_Amount]]-Supermarket_Sales_Case_Study[[#This Row],[Purchase]])/Supermarket_Sales_Case_Study[[#This Row],[Sales_Amount]]</f>
        <v>0.30000000000000004</v>
      </c>
      <c r="P953">
        <f>Supermarket_Sales_Case_Study[[#This Row],[Quantity]]*Supermarket_Sales_Case_Study[[#This Row],[Sales_Amount]]</f>
        <v>527.02448931612798</v>
      </c>
    </row>
    <row r="954" spans="1:16" x14ac:dyDescent="0.3">
      <c r="A954" t="s">
        <v>984</v>
      </c>
      <c r="B954" t="s">
        <v>21</v>
      </c>
      <c r="C954" t="s">
        <v>36</v>
      </c>
      <c r="D954">
        <v>1481</v>
      </c>
      <c r="E954" t="s">
        <v>16</v>
      </c>
      <c r="F954" t="s">
        <v>17</v>
      </c>
      <c r="G954" t="s">
        <v>23</v>
      </c>
      <c r="H954" s="1">
        <v>45333</v>
      </c>
      <c r="I954">
        <v>154.099700365014</v>
      </c>
      <c r="J954">
        <v>1</v>
      </c>
      <c r="K954">
        <v>154.099700365014</v>
      </c>
      <c r="L954">
        <v>46.229910109504203</v>
      </c>
      <c r="M954" t="s">
        <v>24</v>
      </c>
      <c r="N954">
        <f>Supermarket_Sales_Case_Study[[#This Row],[Sales_Amount]]-Supermarket_Sales_Case_Study[[#This Row],[Profit]]</f>
        <v>107.8697902555098</v>
      </c>
      <c r="O954" s="2">
        <f>(Supermarket_Sales_Case_Study[[#This Row],[Sales_Amount]]-Supermarket_Sales_Case_Study[[#This Row],[Purchase]])/Supermarket_Sales_Case_Study[[#This Row],[Sales_Amount]]</f>
        <v>0.30000000000000004</v>
      </c>
      <c r="P954">
        <f>Supermarket_Sales_Case_Study[[#This Row],[Quantity]]*Supermarket_Sales_Case_Study[[#This Row],[Sales_Amount]]</f>
        <v>154.099700365014</v>
      </c>
    </row>
    <row r="955" spans="1:16" x14ac:dyDescent="0.3">
      <c r="A955" t="s">
        <v>985</v>
      </c>
      <c r="B955" t="s">
        <v>14</v>
      </c>
      <c r="C955" t="s">
        <v>36</v>
      </c>
      <c r="D955">
        <v>1455</v>
      </c>
      <c r="E955" t="s">
        <v>26</v>
      </c>
      <c r="F955" t="s">
        <v>17</v>
      </c>
      <c r="G955" t="s">
        <v>31</v>
      </c>
      <c r="H955" s="1">
        <v>45339</v>
      </c>
      <c r="I955">
        <v>275.91319397826499</v>
      </c>
      <c r="J955">
        <v>5</v>
      </c>
      <c r="K955">
        <v>1379.56596989132</v>
      </c>
      <c r="L955">
        <v>413.86979096739799</v>
      </c>
      <c r="M955" t="s">
        <v>34</v>
      </c>
      <c r="N955">
        <f>Supermarket_Sales_Case_Study[[#This Row],[Sales_Amount]]-Supermarket_Sales_Case_Study[[#This Row],[Profit]]</f>
        <v>965.69617892392205</v>
      </c>
      <c r="O955" s="2">
        <f>(Supermarket_Sales_Case_Study[[#This Row],[Sales_Amount]]-Supermarket_Sales_Case_Study[[#This Row],[Purchase]])/Supermarket_Sales_Case_Study[[#This Row],[Sales_Amount]]</f>
        <v>0.30000000000000143</v>
      </c>
      <c r="P955">
        <f>Supermarket_Sales_Case_Study[[#This Row],[Quantity]]*Supermarket_Sales_Case_Study[[#This Row],[Sales_Amount]]</f>
        <v>6897.8298494566006</v>
      </c>
    </row>
    <row r="956" spans="1:16" x14ac:dyDescent="0.3">
      <c r="A956" t="s">
        <v>986</v>
      </c>
      <c r="B956" t="s">
        <v>39</v>
      </c>
      <c r="C956" t="s">
        <v>15</v>
      </c>
      <c r="D956">
        <v>1826</v>
      </c>
      <c r="E956" t="s">
        <v>16</v>
      </c>
      <c r="F956" t="s">
        <v>22</v>
      </c>
      <c r="G956" t="s">
        <v>31</v>
      </c>
      <c r="H956" s="1">
        <v>45335</v>
      </c>
      <c r="I956">
        <v>235.12423847962401</v>
      </c>
      <c r="J956">
        <v>6</v>
      </c>
      <c r="K956">
        <v>1410.7454308777401</v>
      </c>
      <c r="L956">
        <v>423.22362926332403</v>
      </c>
      <c r="M956" t="s">
        <v>34</v>
      </c>
      <c r="N956">
        <f>Supermarket_Sales_Case_Study[[#This Row],[Sales_Amount]]-Supermarket_Sales_Case_Study[[#This Row],[Profit]]</f>
        <v>987.52180161441606</v>
      </c>
      <c r="O956" s="2">
        <f>(Supermarket_Sales_Case_Study[[#This Row],[Sales_Amount]]-Supermarket_Sales_Case_Study[[#This Row],[Purchase]])/Supermarket_Sales_Case_Study[[#This Row],[Sales_Amount]]</f>
        <v>0.30000000000000143</v>
      </c>
      <c r="P956">
        <f>Supermarket_Sales_Case_Study[[#This Row],[Quantity]]*Supermarket_Sales_Case_Study[[#This Row],[Sales_Amount]]</f>
        <v>8464.4725852664415</v>
      </c>
    </row>
    <row r="957" spans="1:16" x14ac:dyDescent="0.3">
      <c r="A957" t="s">
        <v>987</v>
      </c>
      <c r="B957" t="s">
        <v>39</v>
      </c>
      <c r="C957" t="s">
        <v>36</v>
      </c>
      <c r="D957">
        <v>1296</v>
      </c>
      <c r="E957" t="s">
        <v>16</v>
      </c>
      <c r="F957" t="s">
        <v>22</v>
      </c>
      <c r="G957" t="s">
        <v>18</v>
      </c>
      <c r="H957" s="1">
        <v>45373</v>
      </c>
      <c r="I957">
        <v>47.8453665939834</v>
      </c>
      <c r="J957">
        <v>6</v>
      </c>
      <c r="K957">
        <v>287.07219956390003</v>
      </c>
      <c r="L957">
        <v>86.121659869170102</v>
      </c>
      <c r="M957" t="s">
        <v>19</v>
      </c>
      <c r="N957">
        <f>Supermarket_Sales_Case_Study[[#This Row],[Sales_Amount]]-Supermarket_Sales_Case_Study[[#This Row],[Profit]]</f>
        <v>200.95053969472991</v>
      </c>
      <c r="O957" s="2">
        <f>(Supermarket_Sales_Case_Study[[#This Row],[Sales_Amount]]-Supermarket_Sales_Case_Study[[#This Row],[Purchase]])/Supermarket_Sales_Case_Study[[#This Row],[Sales_Amount]]</f>
        <v>0.30000000000000038</v>
      </c>
      <c r="P957">
        <f>Supermarket_Sales_Case_Study[[#This Row],[Quantity]]*Supermarket_Sales_Case_Study[[#This Row],[Sales_Amount]]</f>
        <v>1722.4331973834001</v>
      </c>
    </row>
    <row r="958" spans="1:16" x14ac:dyDescent="0.3">
      <c r="A958" t="s">
        <v>988</v>
      </c>
      <c r="B958" t="s">
        <v>39</v>
      </c>
      <c r="C958" t="s">
        <v>36</v>
      </c>
      <c r="D958">
        <v>2135</v>
      </c>
      <c r="E958" t="s">
        <v>26</v>
      </c>
      <c r="F958" t="s">
        <v>22</v>
      </c>
      <c r="G958" t="s">
        <v>33</v>
      </c>
      <c r="H958" s="1">
        <v>45378</v>
      </c>
      <c r="I958">
        <v>173.97179060624501</v>
      </c>
      <c r="J958">
        <v>9</v>
      </c>
      <c r="K958">
        <v>1565.7461154562</v>
      </c>
      <c r="L958">
        <v>469.72383463686202</v>
      </c>
      <c r="M958" t="s">
        <v>34</v>
      </c>
      <c r="N958">
        <f>Supermarket_Sales_Case_Study[[#This Row],[Sales_Amount]]-Supermarket_Sales_Case_Study[[#This Row],[Profit]]</f>
        <v>1096.022280819338</v>
      </c>
      <c r="O958" s="2">
        <f>(Supermarket_Sales_Case_Study[[#This Row],[Sales_Amount]]-Supermarket_Sales_Case_Study[[#This Row],[Purchase]])/Supermarket_Sales_Case_Study[[#This Row],[Sales_Amount]]</f>
        <v>0.30000000000000127</v>
      </c>
      <c r="P958">
        <f>Supermarket_Sales_Case_Study[[#This Row],[Quantity]]*Supermarket_Sales_Case_Study[[#This Row],[Sales_Amount]]</f>
        <v>14091.7150391058</v>
      </c>
    </row>
    <row r="959" spans="1:16" x14ac:dyDescent="0.3">
      <c r="A959" t="s">
        <v>989</v>
      </c>
      <c r="B959" t="s">
        <v>21</v>
      </c>
      <c r="C959" t="s">
        <v>15</v>
      </c>
      <c r="D959">
        <v>2253</v>
      </c>
      <c r="E959" t="s">
        <v>16</v>
      </c>
      <c r="F959" t="s">
        <v>17</v>
      </c>
      <c r="G959" t="s">
        <v>37</v>
      </c>
      <c r="H959" s="1">
        <v>45307</v>
      </c>
      <c r="I959">
        <v>138.25316019067199</v>
      </c>
      <c r="J959">
        <v>4</v>
      </c>
      <c r="K959">
        <v>553.01264076268797</v>
      </c>
      <c r="L959">
        <v>165.903792228806</v>
      </c>
      <c r="M959" t="s">
        <v>19</v>
      </c>
      <c r="N959">
        <f>Supermarket_Sales_Case_Study[[#This Row],[Sales_Amount]]-Supermarket_Sales_Case_Study[[#This Row],[Profit]]</f>
        <v>387.108848533882</v>
      </c>
      <c r="O959" s="2">
        <f>(Supermarket_Sales_Case_Study[[#This Row],[Sales_Amount]]-Supermarket_Sales_Case_Study[[#This Row],[Purchase]])/Supermarket_Sales_Case_Study[[#This Row],[Sales_Amount]]</f>
        <v>0.29999999999999921</v>
      </c>
      <c r="P959">
        <f>Supermarket_Sales_Case_Study[[#This Row],[Quantity]]*Supermarket_Sales_Case_Study[[#This Row],[Sales_Amount]]</f>
        <v>2212.0505630507519</v>
      </c>
    </row>
    <row r="960" spans="1:16" x14ac:dyDescent="0.3">
      <c r="A960" t="s">
        <v>990</v>
      </c>
      <c r="B960" t="s">
        <v>21</v>
      </c>
      <c r="C960" t="s">
        <v>30</v>
      </c>
      <c r="D960">
        <v>2119</v>
      </c>
      <c r="E960" t="s">
        <v>16</v>
      </c>
      <c r="F960" t="s">
        <v>22</v>
      </c>
      <c r="G960" t="s">
        <v>31</v>
      </c>
      <c r="H960" s="1">
        <v>45345</v>
      </c>
      <c r="I960">
        <v>241.19121104784099</v>
      </c>
      <c r="J960">
        <v>1</v>
      </c>
      <c r="K960">
        <v>241.19121104784099</v>
      </c>
      <c r="L960">
        <v>72.357363314352298</v>
      </c>
      <c r="M960" t="s">
        <v>34</v>
      </c>
      <c r="N960">
        <f>Supermarket_Sales_Case_Study[[#This Row],[Sales_Amount]]-Supermarket_Sales_Case_Study[[#This Row],[Profit]]</f>
        <v>168.83384773348871</v>
      </c>
      <c r="O960" s="2">
        <f>(Supermarket_Sales_Case_Study[[#This Row],[Sales_Amount]]-Supermarket_Sales_Case_Study[[#This Row],[Purchase]])/Supermarket_Sales_Case_Study[[#This Row],[Sales_Amount]]</f>
        <v>0.29999999999999993</v>
      </c>
      <c r="P960">
        <f>Supermarket_Sales_Case_Study[[#This Row],[Quantity]]*Supermarket_Sales_Case_Study[[#This Row],[Sales_Amount]]</f>
        <v>241.19121104784099</v>
      </c>
    </row>
    <row r="961" spans="1:16" x14ac:dyDescent="0.3">
      <c r="A961" t="s">
        <v>991</v>
      </c>
      <c r="B961" t="s">
        <v>21</v>
      </c>
      <c r="C961" t="s">
        <v>15</v>
      </c>
      <c r="D961">
        <v>1949</v>
      </c>
      <c r="E961" t="s">
        <v>26</v>
      </c>
      <c r="F961" t="s">
        <v>22</v>
      </c>
      <c r="G961" t="s">
        <v>18</v>
      </c>
      <c r="H961" s="1">
        <v>45326</v>
      </c>
      <c r="I961">
        <v>220.02743880746499</v>
      </c>
      <c r="J961">
        <v>6</v>
      </c>
      <c r="K961">
        <v>1320.16463284479</v>
      </c>
      <c r="L961">
        <v>396.04938985343699</v>
      </c>
      <c r="M961" t="s">
        <v>24</v>
      </c>
      <c r="N961">
        <f>Supermarket_Sales_Case_Study[[#This Row],[Sales_Amount]]-Supermarket_Sales_Case_Study[[#This Row],[Profit]]</f>
        <v>924.11524299135306</v>
      </c>
      <c r="O961" s="2">
        <f>(Supermarket_Sales_Case_Study[[#This Row],[Sales_Amount]]-Supermarket_Sales_Case_Study[[#This Row],[Purchase]])/Supermarket_Sales_Case_Study[[#This Row],[Sales_Amount]]</f>
        <v>0.3</v>
      </c>
      <c r="P961">
        <f>Supermarket_Sales_Case_Study[[#This Row],[Quantity]]*Supermarket_Sales_Case_Study[[#This Row],[Sales_Amount]]</f>
        <v>7920.9877970687403</v>
      </c>
    </row>
    <row r="962" spans="1:16" x14ac:dyDescent="0.3">
      <c r="A962" t="s">
        <v>992</v>
      </c>
      <c r="B962" t="s">
        <v>21</v>
      </c>
      <c r="C962" t="s">
        <v>30</v>
      </c>
      <c r="D962">
        <v>1679</v>
      </c>
      <c r="E962" t="s">
        <v>16</v>
      </c>
      <c r="F962" t="s">
        <v>17</v>
      </c>
      <c r="G962" t="s">
        <v>28</v>
      </c>
      <c r="H962" s="1">
        <v>45319</v>
      </c>
      <c r="I962">
        <v>210.21765935421001</v>
      </c>
      <c r="J962">
        <v>5</v>
      </c>
      <c r="K962">
        <v>1051.08829677105</v>
      </c>
      <c r="L962">
        <v>315.32648903131599</v>
      </c>
      <c r="M962" t="s">
        <v>34</v>
      </c>
      <c r="N962">
        <f>Supermarket_Sales_Case_Study[[#This Row],[Sales_Amount]]-Supermarket_Sales_Case_Study[[#This Row],[Profit]]</f>
        <v>735.76180773973397</v>
      </c>
      <c r="O962" s="2">
        <f>(Supermarket_Sales_Case_Study[[#This Row],[Sales_Amount]]-Supermarket_Sales_Case_Study[[#This Row],[Purchase]])/Supermarket_Sales_Case_Study[[#This Row],[Sales_Amount]]</f>
        <v>0.30000000000000093</v>
      </c>
      <c r="P962">
        <f>Supermarket_Sales_Case_Study[[#This Row],[Quantity]]*Supermarket_Sales_Case_Study[[#This Row],[Sales_Amount]]</f>
        <v>5255.4414838552493</v>
      </c>
    </row>
    <row r="963" spans="1:16" x14ac:dyDescent="0.3">
      <c r="A963" t="s">
        <v>993</v>
      </c>
      <c r="B963" t="s">
        <v>39</v>
      </c>
      <c r="C963" t="s">
        <v>15</v>
      </c>
      <c r="D963">
        <v>1377</v>
      </c>
      <c r="E963" t="s">
        <v>26</v>
      </c>
      <c r="F963" t="s">
        <v>17</v>
      </c>
      <c r="G963" t="s">
        <v>37</v>
      </c>
      <c r="H963" s="1">
        <v>45293</v>
      </c>
      <c r="I963">
        <v>108.75800228916999</v>
      </c>
      <c r="J963">
        <v>6</v>
      </c>
      <c r="K963">
        <v>652.54801373502005</v>
      </c>
      <c r="L963">
        <v>195.76440412050599</v>
      </c>
      <c r="M963" t="s">
        <v>34</v>
      </c>
      <c r="N963">
        <f>Supermarket_Sales_Case_Study[[#This Row],[Sales_Amount]]-Supermarket_Sales_Case_Study[[#This Row],[Profit]]</f>
        <v>456.78360961451403</v>
      </c>
      <c r="O963" s="2">
        <f>(Supermarket_Sales_Case_Study[[#This Row],[Sales_Amount]]-Supermarket_Sales_Case_Study[[#This Row],[Purchase]])/Supermarket_Sales_Case_Study[[#This Row],[Sales_Amount]]</f>
        <v>0.3</v>
      </c>
      <c r="P963">
        <f>Supermarket_Sales_Case_Study[[#This Row],[Quantity]]*Supermarket_Sales_Case_Study[[#This Row],[Sales_Amount]]</f>
        <v>3915.2880824101203</v>
      </c>
    </row>
    <row r="964" spans="1:16" x14ac:dyDescent="0.3">
      <c r="A964" t="s">
        <v>994</v>
      </c>
      <c r="B964" t="s">
        <v>14</v>
      </c>
      <c r="C964" t="s">
        <v>15</v>
      </c>
      <c r="D964">
        <v>2179</v>
      </c>
      <c r="E964" t="s">
        <v>26</v>
      </c>
      <c r="F964" t="s">
        <v>22</v>
      </c>
      <c r="G964" t="s">
        <v>31</v>
      </c>
      <c r="H964" s="1">
        <v>45304</v>
      </c>
      <c r="I964">
        <v>243.43948181578301</v>
      </c>
      <c r="J964">
        <v>3</v>
      </c>
      <c r="K964">
        <v>730.318445447351</v>
      </c>
      <c r="L964">
        <v>219.095533634205</v>
      </c>
      <c r="M964" t="s">
        <v>19</v>
      </c>
      <c r="N964">
        <f>Supermarket_Sales_Case_Study[[#This Row],[Sales_Amount]]-Supermarket_Sales_Case_Study[[#This Row],[Profit]]</f>
        <v>511.22291181314597</v>
      </c>
      <c r="O964" s="2">
        <f>(Supermarket_Sales_Case_Study[[#This Row],[Sales_Amount]]-Supermarket_Sales_Case_Study[[#This Row],[Purchase]])/Supermarket_Sales_Case_Study[[#This Row],[Sales_Amount]]</f>
        <v>0.2999999999999996</v>
      </c>
      <c r="P964">
        <f>Supermarket_Sales_Case_Study[[#This Row],[Quantity]]*Supermarket_Sales_Case_Study[[#This Row],[Sales_Amount]]</f>
        <v>2190.9553363420528</v>
      </c>
    </row>
    <row r="965" spans="1:16" x14ac:dyDescent="0.3">
      <c r="A965" t="s">
        <v>995</v>
      </c>
      <c r="B965" t="s">
        <v>21</v>
      </c>
      <c r="C965" t="s">
        <v>36</v>
      </c>
      <c r="D965">
        <v>1420</v>
      </c>
      <c r="E965" t="s">
        <v>26</v>
      </c>
      <c r="F965" t="s">
        <v>17</v>
      </c>
      <c r="G965" t="s">
        <v>31</v>
      </c>
      <c r="H965" s="1">
        <v>45332</v>
      </c>
      <c r="I965">
        <v>25.193475722509699</v>
      </c>
      <c r="J965">
        <v>2</v>
      </c>
      <c r="K965">
        <v>50.386951445019498</v>
      </c>
      <c r="L965">
        <v>15.1160854335058</v>
      </c>
      <c r="M965" t="s">
        <v>19</v>
      </c>
      <c r="N965">
        <f>Supermarket_Sales_Case_Study[[#This Row],[Sales_Amount]]-Supermarket_Sales_Case_Study[[#This Row],[Profit]]</f>
        <v>35.270866011513696</v>
      </c>
      <c r="O965" s="2">
        <f>(Supermarket_Sales_Case_Study[[#This Row],[Sales_Amount]]-Supermarket_Sales_Case_Study[[#This Row],[Purchase]])/Supermarket_Sales_Case_Study[[#This Row],[Sales_Amount]]</f>
        <v>0.29999999999999905</v>
      </c>
      <c r="P965">
        <f>Supermarket_Sales_Case_Study[[#This Row],[Quantity]]*Supermarket_Sales_Case_Study[[#This Row],[Sales_Amount]]</f>
        <v>100.773902890039</v>
      </c>
    </row>
    <row r="966" spans="1:16" x14ac:dyDescent="0.3">
      <c r="A966" t="s">
        <v>996</v>
      </c>
      <c r="B966" t="s">
        <v>21</v>
      </c>
      <c r="C966" t="s">
        <v>30</v>
      </c>
      <c r="D966">
        <v>1104</v>
      </c>
      <c r="E966" t="s">
        <v>26</v>
      </c>
      <c r="F966" t="s">
        <v>17</v>
      </c>
      <c r="G966" t="s">
        <v>18</v>
      </c>
      <c r="H966" s="1">
        <v>45371</v>
      </c>
      <c r="I966">
        <v>56.291221415328501</v>
      </c>
      <c r="J966">
        <v>6</v>
      </c>
      <c r="K966">
        <v>337.74732849197102</v>
      </c>
      <c r="L966">
        <v>101.324198547591</v>
      </c>
      <c r="M966" t="s">
        <v>19</v>
      </c>
      <c r="N966">
        <f>Supermarket_Sales_Case_Study[[#This Row],[Sales_Amount]]-Supermarket_Sales_Case_Study[[#This Row],[Profit]]</f>
        <v>236.42312994438004</v>
      </c>
      <c r="O966" s="2">
        <f>(Supermarket_Sales_Case_Study[[#This Row],[Sales_Amount]]-Supermarket_Sales_Case_Study[[#This Row],[Purchase]])/Supermarket_Sales_Case_Study[[#This Row],[Sales_Amount]]</f>
        <v>0.29999999999999905</v>
      </c>
      <c r="P966">
        <f>Supermarket_Sales_Case_Study[[#This Row],[Quantity]]*Supermarket_Sales_Case_Study[[#This Row],[Sales_Amount]]</f>
        <v>2026.483970951826</v>
      </c>
    </row>
    <row r="967" spans="1:16" x14ac:dyDescent="0.3">
      <c r="A967" t="s">
        <v>997</v>
      </c>
      <c r="B967" t="s">
        <v>39</v>
      </c>
      <c r="C967" t="s">
        <v>36</v>
      </c>
      <c r="D967">
        <v>1329</v>
      </c>
      <c r="E967" t="s">
        <v>16</v>
      </c>
      <c r="F967" t="s">
        <v>17</v>
      </c>
      <c r="G967" t="s">
        <v>33</v>
      </c>
      <c r="H967" s="1">
        <v>45350</v>
      </c>
      <c r="I967">
        <v>107.33074916359401</v>
      </c>
      <c r="J967">
        <v>1</v>
      </c>
      <c r="K967">
        <v>107.33074916359401</v>
      </c>
      <c r="L967">
        <v>32.199224749078297</v>
      </c>
      <c r="M967" t="s">
        <v>34</v>
      </c>
      <c r="N967">
        <f>Supermarket_Sales_Case_Study[[#This Row],[Sales_Amount]]-Supermarket_Sales_Case_Study[[#This Row],[Profit]]</f>
        <v>75.13152441451571</v>
      </c>
      <c r="O967" s="2">
        <f>(Supermarket_Sales_Case_Study[[#This Row],[Sales_Amount]]-Supermarket_Sales_Case_Study[[#This Row],[Purchase]])/Supermarket_Sales_Case_Study[[#This Row],[Sales_Amount]]</f>
        <v>0.30000000000000088</v>
      </c>
      <c r="P967">
        <f>Supermarket_Sales_Case_Study[[#This Row],[Quantity]]*Supermarket_Sales_Case_Study[[#This Row],[Sales_Amount]]</f>
        <v>107.33074916359401</v>
      </c>
    </row>
    <row r="968" spans="1:16" x14ac:dyDescent="0.3">
      <c r="A968" t="s">
        <v>998</v>
      </c>
      <c r="B968" t="s">
        <v>14</v>
      </c>
      <c r="C968" t="s">
        <v>30</v>
      </c>
      <c r="D968">
        <v>1438</v>
      </c>
      <c r="E968" t="s">
        <v>26</v>
      </c>
      <c r="F968" t="s">
        <v>17</v>
      </c>
      <c r="G968" t="s">
        <v>31</v>
      </c>
      <c r="H968" s="1">
        <v>45360</v>
      </c>
      <c r="I968">
        <v>32.274157910091503</v>
      </c>
      <c r="J968">
        <v>7</v>
      </c>
      <c r="K968">
        <v>225.91910537064101</v>
      </c>
      <c r="L968">
        <v>67.775731611192299</v>
      </c>
      <c r="M968" t="s">
        <v>34</v>
      </c>
      <c r="N968">
        <f>Supermarket_Sales_Case_Study[[#This Row],[Sales_Amount]]-Supermarket_Sales_Case_Study[[#This Row],[Profit]]</f>
        <v>158.14337375944871</v>
      </c>
      <c r="O968" s="2">
        <f>(Supermarket_Sales_Case_Study[[#This Row],[Sales_Amount]]-Supermarket_Sales_Case_Study[[#This Row],[Purchase]])/Supermarket_Sales_Case_Study[[#This Row],[Sales_Amount]]</f>
        <v>0.3</v>
      </c>
      <c r="P968">
        <f>Supermarket_Sales_Case_Study[[#This Row],[Quantity]]*Supermarket_Sales_Case_Study[[#This Row],[Sales_Amount]]</f>
        <v>1581.433737594487</v>
      </c>
    </row>
    <row r="969" spans="1:16" x14ac:dyDescent="0.3">
      <c r="A969" t="s">
        <v>999</v>
      </c>
      <c r="B969" t="s">
        <v>14</v>
      </c>
      <c r="C969" t="s">
        <v>15</v>
      </c>
      <c r="D969">
        <v>2155</v>
      </c>
      <c r="E969" t="s">
        <v>26</v>
      </c>
      <c r="F969" t="s">
        <v>22</v>
      </c>
      <c r="G969" t="s">
        <v>28</v>
      </c>
      <c r="H969" s="1">
        <v>45344</v>
      </c>
      <c r="I969">
        <v>78.148340485060501</v>
      </c>
      <c r="J969">
        <v>7</v>
      </c>
      <c r="K969">
        <v>547.03838339542301</v>
      </c>
      <c r="L969">
        <v>164.11151501862699</v>
      </c>
      <c r="M969" t="s">
        <v>24</v>
      </c>
      <c r="N969">
        <f>Supermarket_Sales_Case_Study[[#This Row],[Sales_Amount]]-Supermarket_Sales_Case_Study[[#This Row],[Profit]]</f>
        <v>382.92686837679605</v>
      </c>
      <c r="O969" s="2">
        <f>(Supermarket_Sales_Case_Study[[#This Row],[Sales_Amount]]-Supermarket_Sales_Case_Study[[#This Row],[Purchase]])/Supermarket_Sales_Case_Study[[#This Row],[Sales_Amount]]</f>
        <v>0.3000000000000001</v>
      </c>
      <c r="P969">
        <f>Supermarket_Sales_Case_Study[[#This Row],[Quantity]]*Supermarket_Sales_Case_Study[[#This Row],[Sales_Amount]]</f>
        <v>3829.2686837679612</v>
      </c>
    </row>
    <row r="970" spans="1:16" x14ac:dyDescent="0.3">
      <c r="A970" t="s">
        <v>1000</v>
      </c>
      <c r="B970" t="s">
        <v>39</v>
      </c>
      <c r="C970" t="s">
        <v>15</v>
      </c>
      <c r="D970">
        <v>1381</v>
      </c>
      <c r="E970" t="s">
        <v>16</v>
      </c>
      <c r="F970" t="s">
        <v>17</v>
      </c>
      <c r="G970" t="s">
        <v>31</v>
      </c>
      <c r="H970" s="1">
        <v>45336</v>
      </c>
      <c r="I970">
        <v>250.74378506939601</v>
      </c>
      <c r="J970">
        <v>7</v>
      </c>
      <c r="K970">
        <v>1755.2064954857699</v>
      </c>
      <c r="L970">
        <v>526.56194864573195</v>
      </c>
      <c r="M970" t="s">
        <v>34</v>
      </c>
      <c r="N970">
        <f>Supermarket_Sales_Case_Study[[#This Row],[Sales_Amount]]-Supermarket_Sales_Case_Study[[#This Row],[Profit]]</f>
        <v>1228.6445468400379</v>
      </c>
      <c r="O970" s="2">
        <f>(Supermarket_Sales_Case_Study[[#This Row],[Sales_Amount]]-Supermarket_Sales_Case_Study[[#This Row],[Purchase]])/Supermarket_Sales_Case_Study[[#This Row],[Sales_Amount]]</f>
        <v>0.30000000000000054</v>
      </c>
      <c r="P970">
        <f>Supermarket_Sales_Case_Study[[#This Row],[Quantity]]*Supermarket_Sales_Case_Study[[#This Row],[Sales_Amount]]</f>
        <v>12286.445468400389</v>
      </c>
    </row>
    <row r="971" spans="1:16" x14ac:dyDescent="0.3">
      <c r="A971" t="s">
        <v>1001</v>
      </c>
      <c r="B971" t="s">
        <v>39</v>
      </c>
      <c r="C971" t="s">
        <v>30</v>
      </c>
      <c r="D971">
        <v>1137</v>
      </c>
      <c r="E971" t="s">
        <v>26</v>
      </c>
      <c r="F971" t="s">
        <v>17</v>
      </c>
      <c r="G971" t="s">
        <v>28</v>
      </c>
      <c r="H971" s="1">
        <v>45311</v>
      </c>
      <c r="I971">
        <v>284.99294595912301</v>
      </c>
      <c r="J971">
        <v>1</v>
      </c>
      <c r="K971">
        <v>284.99294595912301</v>
      </c>
      <c r="L971">
        <v>85.497883787736896</v>
      </c>
      <c r="M971" t="s">
        <v>24</v>
      </c>
      <c r="N971">
        <f>Supermarket_Sales_Case_Study[[#This Row],[Sales_Amount]]-Supermarket_Sales_Case_Study[[#This Row],[Profit]]</f>
        <v>199.49506217138611</v>
      </c>
      <c r="O971" s="2">
        <f>(Supermarket_Sales_Case_Study[[#This Row],[Sales_Amount]]-Supermarket_Sales_Case_Study[[#This Row],[Purchase]])/Supermarket_Sales_Case_Study[[#This Row],[Sales_Amount]]</f>
        <v>0.3</v>
      </c>
      <c r="P971">
        <f>Supermarket_Sales_Case_Study[[#This Row],[Quantity]]*Supermarket_Sales_Case_Study[[#This Row],[Sales_Amount]]</f>
        <v>284.99294595912301</v>
      </c>
    </row>
    <row r="972" spans="1:16" x14ac:dyDescent="0.3">
      <c r="A972" t="s">
        <v>1002</v>
      </c>
      <c r="B972" t="s">
        <v>14</v>
      </c>
      <c r="C972" t="s">
        <v>36</v>
      </c>
      <c r="D972">
        <v>1942</v>
      </c>
      <c r="E972" t="s">
        <v>26</v>
      </c>
      <c r="F972" t="s">
        <v>17</v>
      </c>
      <c r="G972" t="s">
        <v>37</v>
      </c>
      <c r="H972" s="1">
        <v>45315</v>
      </c>
      <c r="I972">
        <v>98.334683174515206</v>
      </c>
      <c r="J972">
        <v>4</v>
      </c>
      <c r="K972">
        <v>393.33873269806003</v>
      </c>
      <c r="L972">
        <v>118.001619809418</v>
      </c>
      <c r="M972" t="s">
        <v>19</v>
      </c>
      <c r="N972">
        <f>Supermarket_Sales_Case_Study[[#This Row],[Sales_Amount]]-Supermarket_Sales_Case_Study[[#This Row],[Profit]]</f>
        <v>275.33711288864203</v>
      </c>
      <c r="O972" s="2">
        <f>(Supermarket_Sales_Case_Study[[#This Row],[Sales_Amount]]-Supermarket_Sales_Case_Study[[#This Row],[Purchase]])/Supermarket_Sales_Case_Study[[#This Row],[Sales_Amount]]</f>
        <v>0.3</v>
      </c>
      <c r="P972">
        <f>Supermarket_Sales_Case_Study[[#This Row],[Quantity]]*Supermarket_Sales_Case_Study[[#This Row],[Sales_Amount]]</f>
        <v>1573.3549307922401</v>
      </c>
    </row>
    <row r="973" spans="1:16" x14ac:dyDescent="0.3">
      <c r="A973" t="s">
        <v>1003</v>
      </c>
      <c r="B973" t="s">
        <v>21</v>
      </c>
      <c r="C973" t="s">
        <v>36</v>
      </c>
      <c r="D973">
        <v>1842</v>
      </c>
      <c r="E973" t="s">
        <v>16</v>
      </c>
      <c r="F973" t="s">
        <v>17</v>
      </c>
      <c r="G973" t="s">
        <v>37</v>
      </c>
      <c r="H973" s="1">
        <v>45352</v>
      </c>
      <c r="I973">
        <v>86.709583156763003</v>
      </c>
      <c r="J973">
        <v>7</v>
      </c>
      <c r="K973">
        <v>606.96708209734095</v>
      </c>
      <c r="L973">
        <v>182.09012462920199</v>
      </c>
      <c r="M973" t="s">
        <v>19</v>
      </c>
      <c r="N973">
        <f>Supermarket_Sales_Case_Study[[#This Row],[Sales_Amount]]-Supermarket_Sales_Case_Study[[#This Row],[Profit]]</f>
        <v>424.87695746813893</v>
      </c>
      <c r="O973" s="2">
        <f>(Supermarket_Sales_Case_Study[[#This Row],[Sales_Amount]]-Supermarket_Sales_Case_Study[[#This Row],[Purchase]])/Supermarket_Sales_Case_Study[[#This Row],[Sales_Amount]]</f>
        <v>0.29999999999999954</v>
      </c>
      <c r="P973">
        <f>Supermarket_Sales_Case_Study[[#This Row],[Quantity]]*Supermarket_Sales_Case_Study[[#This Row],[Sales_Amount]]</f>
        <v>4248.769574681387</v>
      </c>
    </row>
    <row r="974" spans="1:16" x14ac:dyDescent="0.3">
      <c r="A974" t="s">
        <v>1004</v>
      </c>
      <c r="B974" t="s">
        <v>14</v>
      </c>
      <c r="C974" t="s">
        <v>36</v>
      </c>
      <c r="D974">
        <v>1269</v>
      </c>
      <c r="E974" t="s">
        <v>16</v>
      </c>
      <c r="F974" t="s">
        <v>17</v>
      </c>
      <c r="G974" t="s">
        <v>23</v>
      </c>
      <c r="H974" s="1">
        <v>45349</v>
      </c>
      <c r="I974">
        <v>91.168869151463795</v>
      </c>
      <c r="J974">
        <v>9</v>
      </c>
      <c r="K974">
        <v>820.51982236317394</v>
      </c>
      <c r="L974">
        <v>246.155946708952</v>
      </c>
      <c r="M974" t="s">
        <v>19</v>
      </c>
      <c r="N974">
        <f>Supermarket_Sales_Case_Study[[#This Row],[Sales_Amount]]-Supermarket_Sales_Case_Study[[#This Row],[Profit]]</f>
        <v>574.36387565422194</v>
      </c>
      <c r="O974" s="2">
        <f>(Supermarket_Sales_Case_Study[[#This Row],[Sales_Amount]]-Supermarket_Sales_Case_Study[[#This Row],[Purchase]])/Supermarket_Sales_Case_Study[[#This Row],[Sales_Amount]]</f>
        <v>0.29999999999999977</v>
      </c>
      <c r="P974">
        <f>Supermarket_Sales_Case_Study[[#This Row],[Quantity]]*Supermarket_Sales_Case_Study[[#This Row],[Sales_Amount]]</f>
        <v>7384.6784012685657</v>
      </c>
    </row>
    <row r="975" spans="1:16" x14ac:dyDescent="0.3">
      <c r="A975" t="s">
        <v>1005</v>
      </c>
      <c r="B975" t="s">
        <v>39</v>
      </c>
      <c r="C975" t="s">
        <v>36</v>
      </c>
      <c r="D975">
        <v>1395</v>
      </c>
      <c r="E975" t="s">
        <v>16</v>
      </c>
      <c r="F975" t="s">
        <v>17</v>
      </c>
      <c r="G975" t="s">
        <v>23</v>
      </c>
      <c r="H975" s="1">
        <v>45318</v>
      </c>
      <c r="I975">
        <v>90.538535331744697</v>
      </c>
      <c r="J975">
        <v>5</v>
      </c>
      <c r="K975">
        <v>452.69267665872297</v>
      </c>
      <c r="L975">
        <v>135.80780299761699</v>
      </c>
      <c r="M975" t="s">
        <v>24</v>
      </c>
      <c r="N975">
        <f>Supermarket_Sales_Case_Study[[#This Row],[Sales_Amount]]-Supermarket_Sales_Case_Study[[#This Row],[Profit]]</f>
        <v>316.88487366110598</v>
      </c>
      <c r="O975" s="2">
        <f>(Supermarket_Sales_Case_Study[[#This Row],[Sales_Amount]]-Supermarket_Sales_Case_Study[[#This Row],[Purchase]])/Supermarket_Sales_Case_Study[[#This Row],[Sales_Amount]]</f>
        <v>0.30000000000000021</v>
      </c>
      <c r="P975">
        <f>Supermarket_Sales_Case_Study[[#This Row],[Quantity]]*Supermarket_Sales_Case_Study[[#This Row],[Sales_Amount]]</f>
        <v>2263.4633832936147</v>
      </c>
    </row>
    <row r="976" spans="1:16" x14ac:dyDescent="0.3">
      <c r="A976" t="s">
        <v>1006</v>
      </c>
      <c r="B976" t="s">
        <v>21</v>
      </c>
      <c r="C976" t="s">
        <v>15</v>
      </c>
      <c r="D976">
        <v>1912</v>
      </c>
      <c r="E976" t="s">
        <v>16</v>
      </c>
      <c r="F976" t="s">
        <v>17</v>
      </c>
      <c r="G976" t="s">
        <v>28</v>
      </c>
      <c r="H976" s="1">
        <v>45317</v>
      </c>
      <c r="I976">
        <v>20.419752833932101</v>
      </c>
      <c r="J976">
        <v>2</v>
      </c>
      <c r="K976">
        <v>40.839505667864302</v>
      </c>
      <c r="L976">
        <v>12.2518517003593</v>
      </c>
      <c r="M976" t="s">
        <v>34</v>
      </c>
      <c r="N976">
        <f>Supermarket_Sales_Case_Study[[#This Row],[Sales_Amount]]-Supermarket_Sales_Case_Study[[#This Row],[Profit]]</f>
        <v>28.587653967505002</v>
      </c>
      <c r="O976" s="2">
        <f>(Supermarket_Sales_Case_Study[[#This Row],[Sales_Amount]]-Supermarket_Sales_Case_Study[[#This Row],[Purchase]])/Supermarket_Sales_Case_Study[[#This Row],[Sales_Amount]]</f>
        <v>0.30000000000000021</v>
      </c>
      <c r="P976">
        <f>Supermarket_Sales_Case_Study[[#This Row],[Quantity]]*Supermarket_Sales_Case_Study[[#This Row],[Sales_Amount]]</f>
        <v>81.679011335728603</v>
      </c>
    </row>
    <row r="977" spans="1:16" x14ac:dyDescent="0.3">
      <c r="A977" t="s">
        <v>1007</v>
      </c>
      <c r="B977" t="s">
        <v>21</v>
      </c>
      <c r="C977" t="s">
        <v>15</v>
      </c>
      <c r="D977">
        <v>1463</v>
      </c>
      <c r="E977" t="s">
        <v>16</v>
      </c>
      <c r="F977" t="s">
        <v>17</v>
      </c>
      <c r="G977" t="s">
        <v>33</v>
      </c>
      <c r="H977" s="1">
        <v>45298</v>
      </c>
      <c r="I977">
        <v>278.80574043602098</v>
      </c>
      <c r="J977">
        <v>7</v>
      </c>
      <c r="K977">
        <v>1951.6401830521399</v>
      </c>
      <c r="L977">
        <v>585.49205491564396</v>
      </c>
      <c r="M977" t="s">
        <v>19</v>
      </c>
      <c r="N977">
        <f>Supermarket_Sales_Case_Study[[#This Row],[Sales_Amount]]-Supermarket_Sales_Case_Study[[#This Row],[Profit]]</f>
        <v>1366.1481281364959</v>
      </c>
      <c r="O977" s="2">
        <f>(Supermarket_Sales_Case_Study[[#This Row],[Sales_Amount]]-Supermarket_Sales_Case_Study[[#This Row],[Purchase]])/Supermarket_Sales_Case_Study[[#This Row],[Sales_Amount]]</f>
        <v>0.3000000000000011</v>
      </c>
      <c r="P977">
        <f>Supermarket_Sales_Case_Study[[#This Row],[Quantity]]*Supermarket_Sales_Case_Study[[#This Row],[Sales_Amount]]</f>
        <v>13661.481281364981</v>
      </c>
    </row>
    <row r="978" spans="1:16" x14ac:dyDescent="0.3">
      <c r="A978" t="s">
        <v>1008</v>
      </c>
      <c r="B978" t="s">
        <v>39</v>
      </c>
      <c r="C978" t="s">
        <v>15</v>
      </c>
      <c r="D978">
        <v>1449</v>
      </c>
      <c r="E978" t="s">
        <v>16</v>
      </c>
      <c r="F978" t="s">
        <v>22</v>
      </c>
      <c r="G978" t="s">
        <v>31</v>
      </c>
      <c r="H978" s="1">
        <v>45333</v>
      </c>
      <c r="I978">
        <v>71.9724610553952</v>
      </c>
      <c r="J978">
        <v>1</v>
      </c>
      <c r="K978">
        <v>71.9724610553952</v>
      </c>
      <c r="L978">
        <v>21.5917383166185</v>
      </c>
      <c r="M978" t="s">
        <v>34</v>
      </c>
      <c r="N978">
        <f>Supermarket_Sales_Case_Study[[#This Row],[Sales_Amount]]-Supermarket_Sales_Case_Study[[#This Row],[Profit]]</f>
        <v>50.380722738776697</v>
      </c>
      <c r="O978" s="2">
        <f>(Supermarket_Sales_Case_Study[[#This Row],[Sales_Amount]]-Supermarket_Sales_Case_Study[[#This Row],[Purchase]])/Supermarket_Sales_Case_Study[[#This Row],[Sales_Amount]]</f>
        <v>0.29999999999999921</v>
      </c>
      <c r="P978">
        <f>Supermarket_Sales_Case_Study[[#This Row],[Quantity]]*Supermarket_Sales_Case_Study[[#This Row],[Sales_Amount]]</f>
        <v>71.9724610553952</v>
      </c>
    </row>
    <row r="979" spans="1:16" x14ac:dyDescent="0.3">
      <c r="A979" t="s">
        <v>1009</v>
      </c>
      <c r="B979" t="s">
        <v>39</v>
      </c>
      <c r="C979" t="s">
        <v>15</v>
      </c>
      <c r="D979">
        <v>2354</v>
      </c>
      <c r="E979" t="s">
        <v>16</v>
      </c>
      <c r="F979" t="s">
        <v>17</v>
      </c>
      <c r="G979" t="s">
        <v>31</v>
      </c>
      <c r="H979" s="1">
        <v>45338</v>
      </c>
      <c r="I979">
        <v>131.801181483607</v>
      </c>
      <c r="J979">
        <v>7</v>
      </c>
      <c r="K979">
        <v>922.60827038525099</v>
      </c>
      <c r="L979">
        <v>276.78248111557502</v>
      </c>
      <c r="M979" t="s">
        <v>34</v>
      </c>
      <c r="N979">
        <f>Supermarket_Sales_Case_Study[[#This Row],[Sales_Amount]]-Supermarket_Sales_Case_Study[[#This Row],[Profit]]</f>
        <v>645.82578926967597</v>
      </c>
      <c r="O979" s="2">
        <f>(Supermarket_Sales_Case_Study[[#This Row],[Sales_Amount]]-Supermarket_Sales_Case_Study[[#This Row],[Purchase]])/Supermarket_Sales_Case_Study[[#This Row],[Sales_Amount]]</f>
        <v>0.29999999999999971</v>
      </c>
      <c r="P979">
        <f>Supermarket_Sales_Case_Study[[#This Row],[Quantity]]*Supermarket_Sales_Case_Study[[#This Row],[Sales_Amount]]</f>
        <v>6458.2578926967572</v>
      </c>
    </row>
    <row r="980" spans="1:16" x14ac:dyDescent="0.3">
      <c r="A980" t="s">
        <v>1010</v>
      </c>
      <c r="B980" t="s">
        <v>39</v>
      </c>
      <c r="C980" t="s">
        <v>15</v>
      </c>
      <c r="D980">
        <v>2276</v>
      </c>
      <c r="E980" t="s">
        <v>26</v>
      </c>
      <c r="F980" t="s">
        <v>22</v>
      </c>
      <c r="G980" t="s">
        <v>23</v>
      </c>
      <c r="H980" s="1">
        <v>45344</v>
      </c>
      <c r="I980">
        <v>12.8091959948806</v>
      </c>
      <c r="J980">
        <v>6</v>
      </c>
      <c r="K980">
        <v>76.855175969283806</v>
      </c>
      <c r="L980">
        <v>23.056552790785101</v>
      </c>
      <c r="M980" t="s">
        <v>19</v>
      </c>
      <c r="N980">
        <f>Supermarket_Sales_Case_Study[[#This Row],[Sales_Amount]]-Supermarket_Sales_Case_Study[[#This Row],[Profit]]</f>
        <v>53.798623178498701</v>
      </c>
      <c r="O980" s="2">
        <f>(Supermarket_Sales_Case_Study[[#This Row],[Sales_Amount]]-Supermarket_Sales_Case_Study[[#This Row],[Purchase]])/Supermarket_Sales_Case_Study[[#This Row],[Sales_Amount]]</f>
        <v>0.29999999999999954</v>
      </c>
      <c r="P980">
        <f>Supermarket_Sales_Case_Study[[#This Row],[Quantity]]*Supermarket_Sales_Case_Study[[#This Row],[Sales_Amount]]</f>
        <v>461.13105581570284</v>
      </c>
    </row>
    <row r="981" spans="1:16" x14ac:dyDescent="0.3">
      <c r="A981" t="s">
        <v>1011</v>
      </c>
      <c r="B981" t="s">
        <v>14</v>
      </c>
      <c r="C981" t="s">
        <v>36</v>
      </c>
      <c r="D981">
        <v>2308</v>
      </c>
      <c r="E981" t="s">
        <v>16</v>
      </c>
      <c r="F981" t="s">
        <v>17</v>
      </c>
      <c r="G981" t="s">
        <v>28</v>
      </c>
      <c r="H981" s="1">
        <v>45350</v>
      </c>
      <c r="I981">
        <v>258.80697636536598</v>
      </c>
      <c r="J981">
        <v>7</v>
      </c>
      <c r="K981">
        <v>1811.6488345575599</v>
      </c>
      <c r="L981">
        <v>543.49465036726895</v>
      </c>
      <c r="M981" t="s">
        <v>24</v>
      </c>
      <c r="N981">
        <f>Supermarket_Sales_Case_Study[[#This Row],[Sales_Amount]]-Supermarket_Sales_Case_Study[[#This Row],[Profit]]</f>
        <v>1268.1541841902908</v>
      </c>
      <c r="O981" s="2">
        <f>(Supermarket_Sales_Case_Study[[#This Row],[Sales_Amount]]-Supermarket_Sales_Case_Study[[#This Row],[Purchase]])/Supermarket_Sales_Case_Study[[#This Row],[Sales_Amount]]</f>
        <v>0.3000000000000006</v>
      </c>
      <c r="P981">
        <f>Supermarket_Sales_Case_Study[[#This Row],[Quantity]]*Supermarket_Sales_Case_Study[[#This Row],[Sales_Amount]]</f>
        <v>12681.541841902919</v>
      </c>
    </row>
    <row r="982" spans="1:16" x14ac:dyDescent="0.3">
      <c r="A982" t="s">
        <v>1012</v>
      </c>
      <c r="B982" t="s">
        <v>14</v>
      </c>
      <c r="C982" t="s">
        <v>36</v>
      </c>
      <c r="D982">
        <v>2297</v>
      </c>
      <c r="E982" t="s">
        <v>16</v>
      </c>
      <c r="F982" t="s">
        <v>17</v>
      </c>
      <c r="G982" t="s">
        <v>31</v>
      </c>
      <c r="H982" s="1">
        <v>45329</v>
      </c>
      <c r="I982">
        <v>222.03562989192599</v>
      </c>
      <c r="J982">
        <v>3</v>
      </c>
      <c r="K982">
        <v>666.10688967577801</v>
      </c>
      <c r="L982">
        <v>199.832066902733</v>
      </c>
      <c r="M982" t="s">
        <v>34</v>
      </c>
      <c r="N982">
        <f>Supermarket_Sales_Case_Study[[#This Row],[Sales_Amount]]-Supermarket_Sales_Case_Study[[#This Row],[Profit]]</f>
        <v>466.274822773045</v>
      </c>
      <c r="O982" s="2">
        <f>(Supermarket_Sales_Case_Study[[#This Row],[Sales_Amount]]-Supermarket_Sales_Case_Study[[#This Row],[Purchase]])/Supermarket_Sales_Case_Study[[#This Row],[Sales_Amount]]</f>
        <v>0.29999999999999938</v>
      </c>
      <c r="P982">
        <f>Supermarket_Sales_Case_Study[[#This Row],[Quantity]]*Supermarket_Sales_Case_Study[[#This Row],[Sales_Amount]]</f>
        <v>1998.3206690273341</v>
      </c>
    </row>
    <row r="983" spans="1:16" x14ac:dyDescent="0.3">
      <c r="A983" t="s">
        <v>1013</v>
      </c>
      <c r="B983" t="s">
        <v>21</v>
      </c>
      <c r="C983" t="s">
        <v>36</v>
      </c>
      <c r="D983">
        <v>1019</v>
      </c>
      <c r="E983" t="s">
        <v>16</v>
      </c>
      <c r="F983" t="s">
        <v>17</v>
      </c>
      <c r="G983" t="s">
        <v>31</v>
      </c>
      <c r="H983" s="1">
        <v>45360</v>
      </c>
      <c r="I983">
        <v>284.55925020037301</v>
      </c>
      <c r="J983">
        <v>3</v>
      </c>
      <c r="K983">
        <v>853.67775060112103</v>
      </c>
      <c r="L983">
        <v>256.10332518033601</v>
      </c>
      <c r="M983" t="s">
        <v>19</v>
      </c>
      <c r="N983">
        <f>Supermarket_Sales_Case_Study[[#This Row],[Sales_Amount]]-Supermarket_Sales_Case_Study[[#This Row],[Profit]]</f>
        <v>597.57442542078502</v>
      </c>
      <c r="O983" s="2">
        <f>(Supermarket_Sales_Case_Study[[#This Row],[Sales_Amount]]-Supermarket_Sales_Case_Study[[#This Row],[Purchase]])/Supermarket_Sales_Case_Study[[#This Row],[Sales_Amount]]</f>
        <v>0.29999999999999966</v>
      </c>
      <c r="P983">
        <f>Supermarket_Sales_Case_Study[[#This Row],[Quantity]]*Supermarket_Sales_Case_Study[[#This Row],[Sales_Amount]]</f>
        <v>2561.0332518033629</v>
      </c>
    </row>
    <row r="984" spans="1:16" x14ac:dyDescent="0.3">
      <c r="A984" t="s">
        <v>1014</v>
      </c>
      <c r="B984" t="s">
        <v>39</v>
      </c>
      <c r="C984" t="s">
        <v>36</v>
      </c>
      <c r="D984">
        <v>1238</v>
      </c>
      <c r="E984" t="s">
        <v>26</v>
      </c>
      <c r="F984" t="s">
        <v>17</v>
      </c>
      <c r="G984" t="s">
        <v>33</v>
      </c>
      <c r="H984" s="1">
        <v>45378</v>
      </c>
      <c r="I984">
        <v>236.66848896695501</v>
      </c>
      <c r="J984">
        <v>7</v>
      </c>
      <c r="K984">
        <v>1656.6794227686901</v>
      </c>
      <c r="L984">
        <v>497.00382683060701</v>
      </c>
      <c r="M984" t="s">
        <v>34</v>
      </c>
      <c r="N984">
        <f>Supermarket_Sales_Case_Study[[#This Row],[Sales_Amount]]-Supermarket_Sales_Case_Study[[#This Row],[Profit]]</f>
        <v>1159.675595938083</v>
      </c>
      <c r="O984" s="2">
        <f>(Supermarket_Sales_Case_Study[[#This Row],[Sales_Amount]]-Supermarket_Sales_Case_Study[[#This Row],[Purchase]])/Supermarket_Sales_Case_Study[[#This Row],[Sales_Amount]]</f>
        <v>0.30000000000000004</v>
      </c>
      <c r="P984">
        <f>Supermarket_Sales_Case_Study[[#This Row],[Quantity]]*Supermarket_Sales_Case_Study[[#This Row],[Sales_Amount]]</f>
        <v>11596.755959380831</v>
      </c>
    </row>
    <row r="985" spans="1:16" x14ac:dyDescent="0.3">
      <c r="A985" t="s">
        <v>1015</v>
      </c>
      <c r="B985" t="s">
        <v>21</v>
      </c>
      <c r="C985" t="s">
        <v>15</v>
      </c>
      <c r="D985">
        <v>2293</v>
      </c>
      <c r="E985" t="s">
        <v>26</v>
      </c>
      <c r="F985" t="s">
        <v>22</v>
      </c>
      <c r="G985" t="s">
        <v>18</v>
      </c>
      <c r="H985" s="1">
        <v>45344</v>
      </c>
      <c r="I985">
        <v>100.974888495098</v>
      </c>
      <c r="J985">
        <v>2</v>
      </c>
      <c r="K985">
        <v>201.94977699019699</v>
      </c>
      <c r="L985">
        <v>60.584933097059299</v>
      </c>
      <c r="M985" t="s">
        <v>34</v>
      </c>
      <c r="N985">
        <f>Supermarket_Sales_Case_Study[[#This Row],[Sales_Amount]]-Supermarket_Sales_Case_Study[[#This Row],[Profit]]</f>
        <v>141.3648438931377</v>
      </c>
      <c r="O985" s="2">
        <f>(Supermarket_Sales_Case_Study[[#This Row],[Sales_Amount]]-Supermarket_Sales_Case_Study[[#This Row],[Purchase]])/Supermarket_Sales_Case_Study[[#This Row],[Sales_Amount]]</f>
        <v>0.30000000000000093</v>
      </c>
      <c r="P985">
        <f>Supermarket_Sales_Case_Study[[#This Row],[Quantity]]*Supermarket_Sales_Case_Study[[#This Row],[Sales_Amount]]</f>
        <v>403.89955398039399</v>
      </c>
    </row>
    <row r="986" spans="1:16" x14ac:dyDescent="0.3">
      <c r="A986" t="s">
        <v>1016</v>
      </c>
      <c r="B986" t="s">
        <v>21</v>
      </c>
      <c r="C986" t="s">
        <v>15</v>
      </c>
      <c r="D986">
        <v>1417</v>
      </c>
      <c r="E986" t="s">
        <v>16</v>
      </c>
      <c r="F986" t="s">
        <v>17</v>
      </c>
      <c r="G986" t="s">
        <v>23</v>
      </c>
      <c r="H986" s="1">
        <v>45306</v>
      </c>
      <c r="I986">
        <v>81.883274031242806</v>
      </c>
      <c r="J986">
        <v>1</v>
      </c>
      <c r="K986">
        <v>81.883274031242806</v>
      </c>
      <c r="L986">
        <v>24.564982209372801</v>
      </c>
      <c r="M986" t="s">
        <v>34</v>
      </c>
      <c r="N986">
        <f>Supermarket_Sales_Case_Study[[#This Row],[Sales_Amount]]-Supermarket_Sales_Case_Study[[#This Row],[Profit]]</f>
        <v>57.318291821870005</v>
      </c>
      <c r="O986" s="2">
        <f>(Supermarket_Sales_Case_Study[[#This Row],[Sales_Amount]]-Supermarket_Sales_Case_Study[[#This Row],[Purchase]])/Supermarket_Sales_Case_Study[[#This Row],[Sales_Amount]]</f>
        <v>0.29999999999999949</v>
      </c>
      <c r="P986">
        <f>Supermarket_Sales_Case_Study[[#This Row],[Quantity]]*Supermarket_Sales_Case_Study[[#This Row],[Sales_Amount]]</f>
        <v>81.883274031242806</v>
      </c>
    </row>
    <row r="987" spans="1:16" x14ac:dyDescent="0.3">
      <c r="A987" t="s">
        <v>1017</v>
      </c>
      <c r="B987" t="s">
        <v>21</v>
      </c>
      <c r="C987" t="s">
        <v>15</v>
      </c>
      <c r="D987">
        <v>2333</v>
      </c>
      <c r="E987" t="s">
        <v>16</v>
      </c>
      <c r="F987" t="s">
        <v>17</v>
      </c>
      <c r="G987" t="s">
        <v>23</v>
      </c>
      <c r="H987" s="1">
        <v>45317</v>
      </c>
      <c r="I987">
        <v>212.33772919045401</v>
      </c>
      <c r="J987">
        <v>9</v>
      </c>
      <c r="K987">
        <v>1911.0395627140899</v>
      </c>
      <c r="L987">
        <v>573.31186881422798</v>
      </c>
      <c r="M987" t="s">
        <v>34</v>
      </c>
      <c r="N987">
        <f>Supermarket_Sales_Case_Study[[#This Row],[Sales_Amount]]-Supermarket_Sales_Case_Study[[#This Row],[Profit]]</f>
        <v>1337.7276938998621</v>
      </c>
      <c r="O987" s="2">
        <f>(Supermarket_Sales_Case_Study[[#This Row],[Sales_Amount]]-Supermarket_Sales_Case_Study[[#This Row],[Purchase]])/Supermarket_Sales_Case_Study[[#This Row],[Sales_Amount]]</f>
        <v>0.30000000000000049</v>
      </c>
      <c r="P987">
        <f>Supermarket_Sales_Case_Study[[#This Row],[Quantity]]*Supermarket_Sales_Case_Study[[#This Row],[Sales_Amount]]</f>
        <v>17199.356064426811</v>
      </c>
    </row>
    <row r="988" spans="1:16" x14ac:dyDescent="0.3">
      <c r="A988" t="s">
        <v>1018</v>
      </c>
      <c r="B988" t="s">
        <v>21</v>
      </c>
      <c r="C988" t="s">
        <v>30</v>
      </c>
      <c r="D988">
        <v>2054</v>
      </c>
      <c r="E988" t="s">
        <v>16</v>
      </c>
      <c r="F988" t="s">
        <v>22</v>
      </c>
      <c r="G988" t="s">
        <v>18</v>
      </c>
      <c r="H988" s="1">
        <v>45339</v>
      </c>
      <c r="I988">
        <v>115.592704753044</v>
      </c>
      <c r="J988">
        <v>9</v>
      </c>
      <c r="K988">
        <v>1040.3343427774</v>
      </c>
      <c r="L988">
        <v>312.10030283322101</v>
      </c>
      <c r="M988" t="s">
        <v>34</v>
      </c>
      <c r="N988">
        <f>Supermarket_Sales_Case_Study[[#This Row],[Sales_Amount]]-Supermarket_Sales_Case_Study[[#This Row],[Profit]]</f>
        <v>728.23403994417902</v>
      </c>
      <c r="O988" s="2">
        <f>(Supermarket_Sales_Case_Study[[#This Row],[Sales_Amount]]-Supermarket_Sales_Case_Study[[#This Row],[Purchase]])/Supermarket_Sales_Case_Study[[#This Row],[Sales_Amount]]</f>
        <v>0.30000000000000099</v>
      </c>
      <c r="P988">
        <f>Supermarket_Sales_Case_Study[[#This Row],[Quantity]]*Supermarket_Sales_Case_Study[[#This Row],[Sales_Amount]]</f>
        <v>9363.0090849966</v>
      </c>
    </row>
    <row r="989" spans="1:16" x14ac:dyDescent="0.3">
      <c r="A989" t="s">
        <v>1019</v>
      </c>
      <c r="B989" t="s">
        <v>39</v>
      </c>
      <c r="C989" t="s">
        <v>36</v>
      </c>
      <c r="D989">
        <v>2127</v>
      </c>
      <c r="E989" t="s">
        <v>26</v>
      </c>
      <c r="F989" t="s">
        <v>22</v>
      </c>
      <c r="G989" t="s">
        <v>31</v>
      </c>
      <c r="H989" s="1">
        <v>45310</v>
      </c>
      <c r="I989">
        <v>174.20235456825799</v>
      </c>
      <c r="J989">
        <v>7</v>
      </c>
      <c r="K989">
        <v>1219.41648197781</v>
      </c>
      <c r="L989">
        <v>365.82494459334299</v>
      </c>
      <c r="M989" t="s">
        <v>24</v>
      </c>
      <c r="N989">
        <f>Supermarket_Sales_Case_Study[[#This Row],[Sales_Amount]]-Supermarket_Sales_Case_Study[[#This Row],[Profit]]</f>
        <v>853.59153738446707</v>
      </c>
      <c r="O989" s="2">
        <f>(Supermarket_Sales_Case_Study[[#This Row],[Sales_Amount]]-Supermarket_Sales_Case_Study[[#This Row],[Purchase]])/Supermarket_Sales_Case_Study[[#This Row],[Sales_Amount]]</f>
        <v>0.29999999999999993</v>
      </c>
      <c r="P989">
        <f>Supermarket_Sales_Case_Study[[#This Row],[Quantity]]*Supermarket_Sales_Case_Study[[#This Row],[Sales_Amount]]</f>
        <v>8535.9153738446694</v>
      </c>
    </row>
    <row r="990" spans="1:16" x14ac:dyDescent="0.3">
      <c r="A990" t="s">
        <v>1020</v>
      </c>
      <c r="B990" t="s">
        <v>21</v>
      </c>
      <c r="C990" t="s">
        <v>36</v>
      </c>
      <c r="D990">
        <v>1185</v>
      </c>
      <c r="E990" t="s">
        <v>26</v>
      </c>
      <c r="F990" t="s">
        <v>17</v>
      </c>
      <c r="G990" t="s">
        <v>33</v>
      </c>
      <c r="H990" s="1">
        <v>45300</v>
      </c>
      <c r="I990">
        <v>11.8146665976763</v>
      </c>
      <c r="J990">
        <v>7</v>
      </c>
      <c r="K990">
        <v>82.702666183734493</v>
      </c>
      <c r="L990">
        <v>24.810799855120301</v>
      </c>
      <c r="M990" t="s">
        <v>24</v>
      </c>
      <c r="N990">
        <f>Supermarket_Sales_Case_Study[[#This Row],[Sales_Amount]]-Supermarket_Sales_Case_Study[[#This Row],[Profit]]</f>
        <v>57.891866328614192</v>
      </c>
      <c r="O990" s="2">
        <f>(Supermarket_Sales_Case_Study[[#This Row],[Sales_Amount]]-Supermarket_Sales_Case_Study[[#This Row],[Purchase]])/Supermarket_Sales_Case_Study[[#This Row],[Sales_Amount]]</f>
        <v>0.29999999999999943</v>
      </c>
      <c r="P990">
        <f>Supermarket_Sales_Case_Study[[#This Row],[Quantity]]*Supermarket_Sales_Case_Study[[#This Row],[Sales_Amount]]</f>
        <v>578.91866328614151</v>
      </c>
    </row>
    <row r="991" spans="1:16" x14ac:dyDescent="0.3">
      <c r="A991" t="s">
        <v>1021</v>
      </c>
      <c r="B991" t="s">
        <v>39</v>
      </c>
      <c r="C991" t="s">
        <v>15</v>
      </c>
      <c r="D991">
        <v>2151</v>
      </c>
      <c r="E991" t="s">
        <v>16</v>
      </c>
      <c r="F991" t="s">
        <v>22</v>
      </c>
      <c r="G991" t="s">
        <v>33</v>
      </c>
      <c r="H991" s="1">
        <v>45355</v>
      </c>
      <c r="I991">
        <v>27.946853487337801</v>
      </c>
      <c r="J991">
        <v>3</v>
      </c>
      <c r="K991">
        <v>83.8405604620134</v>
      </c>
      <c r="L991">
        <v>25.152168138604001</v>
      </c>
      <c r="M991" t="s">
        <v>19</v>
      </c>
      <c r="N991">
        <f>Supermarket_Sales_Case_Study[[#This Row],[Sales_Amount]]-Supermarket_Sales_Case_Study[[#This Row],[Profit]]</f>
        <v>58.688392323409403</v>
      </c>
      <c r="O991" s="2">
        <f>(Supermarket_Sales_Case_Study[[#This Row],[Sales_Amount]]-Supermarket_Sales_Case_Study[[#This Row],[Purchase]])/Supermarket_Sales_Case_Study[[#This Row],[Sales_Amount]]</f>
        <v>0.29999999999999971</v>
      </c>
      <c r="P991">
        <f>Supermarket_Sales_Case_Study[[#This Row],[Quantity]]*Supermarket_Sales_Case_Study[[#This Row],[Sales_Amount]]</f>
        <v>251.5216813860402</v>
      </c>
    </row>
    <row r="992" spans="1:16" x14ac:dyDescent="0.3">
      <c r="A992" t="s">
        <v>1022</v>
      </c>
      <c r="B992" t="s">
        <v>39</v>
      </c>
      <c r="C992" t="s">
        <v>36</v>
      </c>
      <c r="D992">
        <v>2233</v>
      </c>
      <c r="E992" t="s">
        <v>26</v>
      </c>
      <c r="F992" t="s">
        <v>22</v>
      </c>
      <c r="G992" t="s">
        <v>23</v>
      </c>
      <c r="H992" s="1">
        <v>45345</v>
      </c>
      <c r="I992">
        <v>165.256702942678</v>
      </c>
      <c r="J992">
        <v>2</v>
      </c>
      <c r="K992">
        <v>330.51340588535697</v>
      </c>
      <c r="L992">
        <v>99.154021765607297</v>
      </c>
      <c r="M992" t="s">
        <v>24</v>
      </c>
      <c r="N992">
        <f>Supermarket_Sales_Case_Study[[#This Row],[Sales_Amount]]-Supermarket_Sales_Case_Study[[#This Row],[Profit]]</f>
        <v>231.35938411974968</v>
      </c>
      <c r="O992" s="2">
        <f>(Supermarket_Sales_Case_Study[[#This Row],[Sales_Amount]]-Supermarket_Sales_Case_Study[[#This Row],[Purchase]])/Supermarket_Sales_Case_Study[[#This Row],[Sales_Amount]]</f>
        <v>0.3000000000000006</v>
      </c>
      <c r="P992">
        <f>Supermarket_Sales_Case_Study[[#This Row],[Quantity]]*Supermarket_Sales_Case_Study[[#This Row],[Sales_Amount]]</f>
        <v>661.02681177071395</v>
      </c>
    </row>
    <row r="993" spans="1:16" x14ac:dyDescent="0.3">
      <c r="A993" t="s">
        <v>1023</v>
      </c>
      <c r="B993" t="s">
        <v>14</v>
      </c>
      <c r="C993" t="s">
        <v>36</v>
      </c>
      <c r="D993">
        <v>2437</v>
      </c>
      <c r="E993" t="s">
        <v>16</v>
      </c>
      <c r="F993" t="s">
        <v>22</v>
      </c>
      <c r="G993" t="s">
        <v>33</v>
      </c>
      <c r="H993" s="1">
        <v>45342</v>
      </c>
      <c r="I993">
        <v>174.160777469967</v>
      </c>
      <c r="J993">
        <v>7</v>
      </c>
      <c r="K993">
        <v>1219.12544228977</v>
      </c>
      <c r="L993">
        <v>365.73763268693199</v>
      </c>
      <c r="M993" t="s">
        <v>24</v>
      </c>
      <c r="N993">
        <f>Supermarket_Sales_Case_Study[[#This Row],[Sales_Amount]]-Supermarket_Sales_Case_Study[[#This Row],[Profit]]</f>
        <v>853.38780960283805</v>
      </c>
      <c r="O993" s="2">
        <f>(Supermarket_Sales_Case_Study[[#This Row],[Sales_Amount]]-Supermarket_Sales_Case_Study[[#This Row],[Purchase]])/Supermarket_Sales_Case_Study[[#This Row],[Sales_Amount]]</f>
        <v>0.30000000000000082</v>
      </c>
      <c r="P993">
        <f>Supermarket_Sales_Case_Study[[#This Row],[Quantity]]*Supermarket_Sales_Case_Study[[#This Row],[Sales_Amount]]</f>
        <v>8533.8780960283912</v>
      </c>
    </row>
    <row r="994" spans="1:16" x14ac:dyDescent="0.3">
      <c r="A994" t="s">
        <v>1024</v>
      </c>
      <c r="B994" t="s">
        <v>39</v>
      </c>
      <c r="C994" t="s">
        <v>15</v>
      </c>
      <c r="D994">
        <v>2304</v>
      </c>
      <c r="E994" t="s">
        <v>26</v>
      </c>
      <c r="F994" t="s">
        <v>17</v>
      </c>
      <c r="G994" t="s">
        <v>37</v>
      </c>
      <c r="H994" s="1">
        <v>45330</v>
      </c>
      <c r="I994">
        <v>227.92135389320899</v>
      </c>
      <c r="J994">
        <v>9</v>
      </c>
      <c r="K994">
        <v>2051.2921850388798</v>
      </c>
      <c r="L994">
        <v>615.387655511665</v>
      </c>
      <c r="M994" t="s">
        <v>24</v>
      </c>
      <c r="N994">
        <f>Supermarket_Sales_Case_Study[[#This Row],[Sales_Amount]]-Supermarket_Sales_Case_Study[[#This Row],[Profit]]</f>
        <v>1435.9045295272149</v>
      </c>
      <c r="O994" s="2">
        <f>(Supermarket_Sales_Case_Study[[#This Row],[Sales_Amount]]-Supermarket_Sales_Case_Study[[#This Row],[Purchase]])/Supermarket_Sales_Case_Study[[#This Row],[Sales_Amount]]</f>
        <v>0.30000000000000049</v>
      </c>
      <c r="P994">
        <f>Supermarket_Sales_Case_Study[[#This Row],[Quantity]]*Supermarket_Sales_Case_Study[[#This Row],[Sales_Amount]]</f>
        <v>18461.629665349919</v>
      </c>
    </row>
    <row r="995" spans="1:16" x14ac:dyDescent="0.3">
      <c r="A995" t="s">
        <v>1025</v>
      </c>
      <c r="B995" t="s">
        <v>14</v>
      </c>
      <c r="C995" t="s">
        <v>30</v>
      </c>
      <c r="D995">
        <v>1252</v>
      </c>
      <c r="E995" t="s">
        <v>26</v>
      </c>
      <c r="F995" t="s">
        <v>17</v>
      </c>
      <c r="G995" t="s">
        <v>18</v>
      </c>
      <c r="H995" s="1">
        <v>45295</v>
      </c>
      <c r="I995">
        <v>48.269942690948902</v>
      </c>
      <c r="J995">
        <v>1</v>
      </c>
      <c r="K995">
        <v>48.269942690948902</v>
      </c>
      <c r="L995">
        <v>14.480982807284599</v>
      </c>
      <c r="M995" t="s">
        <v>34</v>
      </c>
      <c r="N995">
        <f>Supermarket_Sales_Case_Study[[#This Row],[Sales_Amount]]-Supermarket_Sales_Case_Study[[#This Row],[Profit]]</f>
        <v>33.788959883664305</v>
      </c>
      <c r="O995" s="2">
        <f>(Supermarket_Sales_Case_Study[[#This Row],[Sales_Amount]]-Supermarket_Sales_Case_Study[[#This Row],[Purchase]])/Supermarket_Sales_Case_Study[[#This Row],[Sales_Amount]]</f>
        <v>0.29999999999999849</v>
      </c>
      <c r="P995">
        <f>Supermarket_Sales_Case_Study[[#This Row],[Quantity]]*Supermarket_Sales_Case_Study[[#This Row],[Sales_Amount]]</f>
        <v>48.269942690948902</v>
      </c>
    </row>
    <row r="996" spans="1:16" x14ac:dyDescent="0.3">
      <c r="A996" t="s">
        <v>1026</v>
      </c>
      <c r="B996" t="s">
        <v>39</v>
      </c>
      <c r="C996" t="s">
        <v>30</v>
      </c>
      <c r="D996">
        <v>1018</v>
      </c>
      <c r="E996" t="s">
        <v>16</v>
      </c>
      <c r="F996" t="s">
        <v>17</v>
      </c>
      <c r="G996" t="s">
        <v>31</v>
      </c>
      <c r="H996" s="1">
        <v>45294</v>
      </c>
      <c r="I996">
        <v>158.82309428946499</v>
      </c>
      <c r="J996">
        <v>4</v>
      </c>
      <c r="K996">
        <v>635.29237715786303</v>
      </c>
      <c r="L996">
        <v>190.58771314735901</v>
      </c>
      <c r="M996" t="s">
        <v>34</v>
      </c>
      <c r="N996">
        <f>Supermarket_Sales_Case_Study[[#This Row],[Sales_Amount]]-Supermarket_Sales_Case_Study[[#This Row],[Profit]]</f>
        <v>444.70466401050402</v>
      </c>
      <c r="O996" s="2">
        <f>(Supermarket_Sales_Case_Study[[#This Row],[Sales_Amount]]-Supermarket_Sales_Case_Study[[#This Row],[Purchase]])/Supermarket_Sales_Case_Study[[#This Row],[Sales_Amount]]</f>
        <v>0.30000000000000016</v>
      </c>
      <c r="P996">
        <f>Supermarket_Sales_Case_Study[[#This Row],[Quantity]]*Supermarket_Sales_Case_Study[[#This Row],[Sales_Amount]]</f>
        <v>2541.1695086314521</v>
      </c>
    </row>
    <row r="997" spans="1:16" x14ac:dyDescent="0.3">
      <c r="A997" t="s">
        <v>1027</v>
      </c>
      <c r="B997" t="s">
        <v>39</v>
      </c>
      <c r="C997" t="s">
        <v>30</v>
      </c>
      <c r="D997">
        <v>1711</v>
      </c>
      <c r="E997" t="s">
        <v>16</v>
      </c>
      <c r="F997" t="s">
        <v>22</v>
      </c>
      <c r="G997" t="s">
        <v>37</v>
      </c>
      <c r="H997" s="1">
        <v>45355</v>
      </c>
      <c r="I997">
        <v>66.389816885189703</v>
      </c>
      <c r="J997">
        <v>6</v>
      </c>
      <c r="K997">
        <v>398.33890131113799</v>
      </c>
      <c r="L997">
        <v>119.501670393341</v>
      </c>
      <c r="M997" t="s">
        <v>19</v>
      </c>
      <c r="N997">
        <f>Supermarket_Sales_Case_Study[[#This Row],[Sales_Amount]]-Supermarket_Sales_Case_Study[[#This Row],[Profit]]</f>
        <v>278.837230917797</v>
      </c>
      <c r="O997" s="2">
        <f>(Supermarket_Sales_Case_Study[[#This Row],[Sales_Amount]]-Supermarket_Sales_Case_Study[[#This Row],[Purchase]])/Supermarket_Sales_Case_Study[[#This Row],[Sales_Amount]]</f>
        <v>0.29999999999999899</v>
      </c>
      <c r="P997">
        <f>Supermarket_Sales_Case_Study[[#This Row],[Quantity]]*Supermarket_Sales_Case_Study[[#This Row],[Sales_Amount]]</f>
        <v>2390.0334078668279</v>
      </c>
    </row>
    <row r="998" spans="1:16" x14ac:dyDescent="0.3">
      <c r="A998" t="s">
        <v>1028</v>
      </c>
      <c r="B998" t="s">
        <v>39</v>
      </c>
      <c r="C998" t="s">
        <v>15</v>
      </c>
      <c r="D998">
        <v>2159</v>
      </c>
      <c r="E998" t="s">
        <v>16</v>
      </c>
      <c r="F998" t="s">
        <v>17</v>
      </c>
      <c r="G998" t="s">
        <v>18</v>
      </c>
      <c r="H998" s="1">
        <v>45320</v>
      </c>
      <c r="I998">
        <v>37.026874673181403</v>
      </c>
      <c r="J998">
        <v>7</v>
      </c>
      <c r="K998">
        <v>259.18812271227</v>
      </c>
      <c r="L998">
        <v>77.756436813681006</v>
      </c>
      <c r="M998" t="s">
        <v>19</v>
      </c>
      <c r="N998">
        <f>Supermarket_Sales_Case_Study[[#This Row],[Sales_Amount]]-Supermarket_Sales_Case_Study[[#This Row],[Profit]]</f>
        <v>181.431685898589</v>
      </c>
      <c r="O998" s="2">
        <f>(Supermarket_Sales_Case_Study[[#This Row],[Sales_Amount]]-Supermarket_Sales_Case_Study[[#This Row],[Purchase]])/Supermarket_Sales_Case_Study[[#This Row],[Sales_Amount]]</f>
        <v>0.30000000000000004</v>
      </c>
      <c r="P998">
        <f>Supermarket_Sales_Case_Study[[#This Row],[Quantity]]*Supermarket_Sales_Case_Study[[#This Row],[Sales_Amount]]</f>
        <v>1814.3168589858901</v>
      </c>
    </row>
    <row r="999" spans="1:16" x14ac:dyDescent="0.3">
      <c r="A999" t="s">
        <v>1029</v>
      </c>
      <c r="B999" t="s">
        <v>14</v>
      </c>
      <c r="C999" t="s">
        <v>36</v>
      </c>
      <c r="D999">
        <v>1222</v>
      </c>
      <c r="E999" t="s">
        <v>16</v>
      </c>
      <c r="F999" t="s">
        <v>22</v>
      </c>
      <c r="G999" t="s">
        <v>28</v>
      </c>
      <c r="H999" s="1">
        <v>45302</v>
      </c>
      <c r="I999">
        <v>129.04378027755999</v>
      </c>
      <c r="J999">
        <v>7</v>
      </c>
      <c r="K999">
        <v>903.30646194292501</v>
      </c>
      <c r="L999">
        <v>270.99193858287703</v>
      </c>
      <c r="M999" t="s">
        <v>19</v>
      </c>
      <c r="N999">
        <f>Supermarket_Sales_Case_Study[[#This Row],[Sales_Amount]]-Supermarket_Sales_Case_Study[[#This Row],[Profit]]</f>
        <v>632.31452336004804</v>
      </c>
      <c r="O999" s="2">
        <f>(Supermarket_Sales_Case_Study[[#This Row],[Sales_Amount]]-Supermarket_Sales_Case_Study[[#This Row],[Purchase]])/Supermarket_Sales_Case_Study[[#This Row],[Sales_Amount]]</f>
        <v>0.29999999999999943</v>
      </c>
      <c r="P999">
        <f>Supermarket_Sales_Case_Study[[#This Row],[Quantity]]*Supermarket_Sales_Case_Study[[#This Row],[Sales_Amount]]</f>
        <v>6323.145233600475</v>
      </c>
    </row>
    <row r="1000" spans="1:16" x14ac:dyDescent="0.3">
      <c r="A1000" t="s">
        <v>1030</v>
      </c>
      <c r="B1000" t="s">
        <v>14</v>
      </c>
      <c r="C1000" t="s">
        <v>15</v>
      </c>
      <c r="D1000">
        <v>1002</v>
      </c>
      <c r="E1000" t="s">
        <v>26</v>
      </c>
      <c r="F1000" t="s">
        <v>17</v>
      </c>
      <c r="G1000" t="s">
        <v>23</v>
      </c>
      <c r="H1000" s="1">
        <v>45349</v>
      </c>
      <c r="I1000">
        <v>57.367627945826598</v>
      </c>
      <c r="J1000">
        <v>2</v>
      </c>
      <c r="K1000">
        <v>114.735255891653</v>
      </c>
      <c r="L1000">
        <v>34.420576767495902</v>
      </c>
      <c r="M1000" t="s">
        <v>34</v>
      </c>
      <c r="N1000">
        <f>Supermarket_Sales_Case_Study[[#This Row],[Sales_Amount]]-Supermarket_Sales_Case_Study[[#This Row],[Profit]]</f>
        <v>80.314679124157095</v>
      </c>
      <c r="O1000" s="2">
        <f>(Supermarket_Sales_Case_Study[[#This Row],[Sales_Amount]]-Supermarket_Sales_Case_Study[[#This Row],[Purchase]])/Supermarket_Sales_Case_Study[[#This Row],[Sales_Amount]]</f>
        <v>0.30000000000000004</v>
      </c>
      <c r="P1000">
        <f>Supermarket_Sales_Case_Study[[#This Row],[Quantity]]*Supermarket_Sales_Case_Study[[#This Row],[Sales_Amount]]</f>
        <v>229.47051178330599</v>
      </c>
    </row>
    <row r="1001" spans="1:16" x14ac:dyDescent="0.3">
      <c r="A1001" t="s">
        <v>1031</v>
      </c>
      <c r="B1001" t="s">
        <v>21</v>
      </c>
      <c r="C1001" t="s">
        <v>15</v>
      </c>
      <c r="D1001">
        <v>2259</v>
      </c>
      <c r="E1001" t="s">
        <v>26</v>
      </c>
      <c r="F1001" t="s">
        <v>17</v>
      </c>
      <c r="G1001" t="s">
        <v>33</v>
      </c>
      <c r="H1001" s="1">
        <v>45366</v>
      </c>
      <c r="I1001">
        <v>74.316773675772396</v>
      </c>
      <c r="J1001">
        <v>4</v>
      </c>
      <c r="K1001">
        <v>297.26709470308901</v>
      </c>
      <c r="L1001">
        <v>89.180128410926798</v>
      </c>
      <c r="M1001" t="s">
        <v>24</v>
      </c>
      <c r="N1001">
        <f>Supermarket_Sales_Case_Study[[#This Row],[Sales_Amount]]-Supermarket_Sales_Case_Study[[#This Row],[Profit]]</f>
        <v>208.08696629216223</v>
      </c>
      <c r="O1001" s="2">
        <f>(Supermarket_Sales_Case_Study[[#This Row],[Sales_Amount]]-Supermarket_Sales_Case_Study[[#This Row],[Purchase]])/Supermarket_Sales_Case_Study[[#This Row],[Sales_Amount]]</f>
        <v>0.30000000000000027</v>
      </c>
      <c r="P1001">
        <f>Supermarket_Sales_Case_Study[[#This Row],[Quantity]]*Supermarket_Sales_Case_Study[[#This Row],[Sales_Amount]]</f>
        <v>1189.0683788123561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8D6E4315-22D0-4028-B944-1428028FEA62}">
          <x14:formula1>
            <xm:f>Sheet1!$A$1:$A$6</xm:f>
          </x14:formula1>
          <xm:sqref>G2:G1001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3CCCC-48FC-4A3C-85B3-7DD6950BDBCD}">
  <dimension ref="A1:S179"/>
  <sheetViews>
    <sheetView workbookViewId="0">
      <selection activeCell="D6" sqref="D6"/>
    </sheetView>
  </sheetViews>
  <sheetFormatPr defaultRowHeight="14.4" x14ac:dyDescent="0.3"/>
  <cols>
    <col min="1" max="1" width="16.109375" bestFit="1" customWidth="1"/>
    <col min="11" max="11" width="10.33203125" bestFit="1" customWidth="1"/>
  </cols>
  <sheetData>
    <row r="1" spans="1:19" x14ac:dyDescent="0.3">
      <c r="A1" t="str" cm="1">
        <f t="array" ref="A1:A6">_xlfn.UNIQUE(Supermarket_Sales_Case_Study[Product_Line])</f>
        <v>Fashion</v>
      </c>
      <c r="D1" t="s">
        <v>1034</v>
      </c>
    </row>
    <row r="2" spans="1:19" x14ac:dyDescent="0.3">
      <c r="A2" t="str">
        <v>Health &amp; Beauty</v>
      </c>
    </row>
    <row r="3" spans="1:19" x14ac:dyDescent="0.3">
      <c r="A3" t="str">
        <v>Home &amp; Garden</v>
      </c>
    </row>
    <row r="4" spans="1:19" x14ac:dyDescent="0.3">
      <c r="A4" t="str">
        <v>Electronics</v>
      </c>
    </row>
    <row r="5" spans="1:19" x14ac:dyDescent="0.3">
      <c r="A5" t="str">
        <v>Food &amp; Beverages</v>
      </c>
      <c r="D5" t="s">
        <v>1035</v>
      </c>
    </row>
    <row r="6" spans="1:19" x14ac:dyDescent="0.3">
      <c r="A6" t="str">
        <v>Sports &amp; Outdoors</v>
      </c>
      <c r="D6" t="str" cm="1">
        <f t="array" ref="D6:S179">_xlfn._xlws.FILTER(Supermarket_Sales_Case_Study[#All],IF(Supermarket_Sales_Case_Study[[#All],[Product_Line]]="Electronics",TRUE,FALSE))</f>
        <v>INV1005</v>
      </c>
      <c r="E6" t="str">
        <v>Branch A</v>
      </c>
      <c r="F6" t="str">
        <v>Yangon</v>
      </c>
      <c r="G6">
        <v>1935</v>
      </c>
      <c r="H6" t="str">
        <v>Member</v>
      </c>
      <c r="I6" t="str">
        <v>Male</v>
      </c>
      <c r="J6" t="str">
        <v>Electronics</v>
      </c>
      <c r="K6" s="1">
        <v>45354</v>
      </c>
      <c r="L6">
        <v>134.582823637058</v>
      </c>
      <c r="M6">
        <v>8</v>
      </c>
      <c r="N6">
        <v>1076.6625890964699</v>
      </c>
      <c r="O6">
        <v>322.99877672894098</v>
      </c>
      <c r="P6" t="str">
        <v>E-Wallet</v>
      </c>
      <c r="Q6">
        <v>753.66381236752886</v>
      </c>
      <c r="R6">
        <v>0.30000000000000004</v>
      </c>
      <c r="S6">
        <v>8613.3007127717592</v>
      </c>
    </row>
    <row r="7" spans="1:19" x14ac:dyDescent="0.3">
      <c r="D7" t="str">
        <v>INV1010</v>
      </c>
      <c r="E7" t="str">
        <v>Branch C</v>
      </c>
      <c r="F7" t="str">
        <v>Mandalay</v>
      </c>
      <c r="G7">
        <v>1052</v>
      </c>
      <c r="H7" t="str">
        <v>Member</v>
      </c>
      <c r="I7" t="str">
        <v>Female</v>
      </c>
      <c r="J7" t="str">
        <v>Electronics</v>
      </c>
      <c r="K7" s="1">
        <v>45347</v>
      </c>
      <c r="L7">
        <v>217.179121451713</v>
      </c>
      <c r="M7">
        <v>7</v>
      </c>
      <c r="N7">
        <v>1520.2538501619899</v>
      </c>
      <c r="O7">
        <v>456.07615504859803</v>
      </c>
      <c r="P7" t="str">
        <v>E-Wallet</v>
      </c>
      <c r="Q7">
        <v>1064.177695113392</v>
      </c>
      <c r="R7">
        <v>0.3000000000000006</v>
      </c>
      <c r="S7">
        <v>10641.77695113393</v>
      </c>
    </row>
    <row r="8" spans="1:19" x14ac:dyDescent="0.3">
      <c r="D8" t="str">
        <v>INV1017</v>
      </c>
      <c r="E8" t="str">
        <v>Branch B</v>
      </c>
      <c r="F8" t="str">
        <v>Naypyidaw</v>
      </c>
      <c r="G8">
        <v>1667</v>
      </c>
      <c r="H8" t="str">
        <v>Member</v>
      </c>
      <c r="I8" t="str">
        <v>Female</v>
      </c>
      <c r="J8" t="str">
        <v>Electronics</v>
      </c>
      <c r="K8" s="1">
        <v>45319</v>
      </c>
      <c r="L8">
        <v>101.799402927682</v>
      </c>
      <c r="M8">
        <v>3</v>
      </c>
      <c r="N8">
        <v>305.39820878304602</v>
      </c>
      <c r="O8">
        <v>91.619462634914001</v>
      </c>
      <c r="P8" t="str">
        <v>E-Wallet</v>
      </c>
      <c r="Q8">
        <v>213.77874614813203</v>
      </c>
      <c r="R8">
        <v>0.3000000000000006</v>
      </c>
      <c r="S8">
        <v>916.19462634913805</v>
      </c>
    </row>
    <row r="9" spans="1:19" x14ac:dyDescent="0.3">
      <c r="D9" t="str">
        <v>INV1024</v>
      </c>
      <c r="E9" t="str">
        <v>Branch B</v>
      </c>
      <c r="F9" t="str">
        <v>Yangon</v>
      </c>
      <c r="G9">
        <v>2263</v>
      </c>
      <c r="H9" t="str">
        <v>Normal</v>
      </c>
      <c r="I9" t="str">
        <v>Male</v>
      </c>
      <c r="J9" t="str">
        <v>Electronics</v>
      </c>
      <c r="K9" s="1">
        <v>45362</v>
      </c>
      <c r="L9">
        <v>294.75265244219599</v>
      </c>
      <c r="M9">
        <v>6</v>
      </c>
      <c r="N9">
        <v>1768.5159146531701</v>
      </c>
      <c r="O9">
        <v>530.55477439595302</v>
      </c>
      <c r="P9" t="str">
        <v>E-Wallet</v>
      </c>
      <c r="Q9">
        <v>1237.961140257217</v>
      </c>
      <c r="R9">
        <v>0.30000000000000115</v>
      </c>
      <c r="S9">
        <v>10611.095487919021</v>
      </c>
    </row>
    <row r="10" spans="1:19" x14ac:dyDescent="0.3">
      <c r="D10" t="str">
        <v>INV1025</v>
      </c>
      <c r="E10" t="str">
        <v>Branch A</v>
      </c>
      <c r="F10" t="str">
        <v>Yangon</v>
      </c>
      <c r="G10">
        <v>1379</v>
      </c>
      <c r="H10" t="str">
        <v>Member</v>
      </c>
      <c r="I10" t="str">
        <v>Female</v>
      </c>
      <c r="J10" t="str">
        <v>Electronics</v>
      </c>
      <c r="K10" s="1">
        <v>45304</v>
      </c>
      <c r="L10">
        <v>192.11808095518799</v>
      </c>
      <c r="M10">
        <v>4</v>
      </c>
      <c r="N10">
        <v>768.47232382075299</v>
      </c>
      <c r="O10">
        <v>230.541697146226</v>
      </c>
      <c r="P10" t="str">
        <v>E-Wallet</v>
      </c>
      <c r="Q10">
        <v>537.93062667452705</v>
      </c>
      <c r="R10">
        <v>0.30000000000000004</v>
      </c>
      <c r="S10">
        <v>3073.889295283012</v>
      </c>
    </row>
    <row r="11" spans="1:19" x14ac:dyDescent="0.3">
      <c r="D11" t="str">
        <v>INV1029</v>
      </c>
      <c r="E11" t="str">
        <v>Branch C</v>
      </c>
      <c r="F11" t="str">
        <v>Mandalay</v>
      </c>
      <c r="G11">
        <v>1774</v>
      </c>
      <c r="H11" t="str">
        <v>Normal</v>
      </c>
      <c r="I11" t="str">
        <v>Female</v>
      </c>
      <c r="J11" t="str">
        <v>Electronics</v>
      </c>
      <c r="K11" s="1">
        <v>45351</v>
      </c>
      <c r="L11">
        <v>15.740740920703701</v>
      </c>
      <c r="M11">
        <v>5</v>
      </c>
      <c r="N11">
        <v>78.703704603518801</v>
      </c>
      <c r="O11">
        <v>23.611111381055601</v>
      </c>
      <c r="P11" t="str">
        <v>Credit Card</v>
      </c>
      <c r="Q11">
        <v>55.092593222463201</v>
      </c>
      <c r="R11">
        <v>0.29999999999999949</v>
      </c>
      <c r="S11">
        <v>393.51852301759402</v>
      </c>
    </row>
    <row r="12" spans="1:19" x14ac:dyDescent="0.3">
      <c r="D12" t="str">
        <v>INV1032</v>
      </c>
      <c r="E12" t="str">
        <v>Branch C</v>
      </c>
      <c r="F12" t="str">
        <v>Mandalay</v>
      </c>
      <c r="G12">
        <v>1365</v>
      </c>
      <c r="H12" t="str">
        <v>Member</v>
      </c>
      <c r="I12" t="str">
        <v>Male</v>
      </c>
      <c r="J12" t="str">
        <v>Electronics</v>
      </c>
      <c r="K12" s="1">
        <v>45381</v>
      </c>
      <c r="L12">
        <v>129.380083532443</v>
      </c>
      <c r="M12">
        <v>3</v>
      </c>
      <c r="N12">
        <v>388.14025059733098</v>
      </c>
      <c r="O12">
        <v>116.44207517919899</v>
      </c>
      <c r="P12" t="str">
        <v>Cash</v>
      </c>
      <c r="Q12">
        <v>271.698175418132</v>
      </c>
      <c r="R12">
        <v>0.29999999999999921</v>
      </c>
      <c r="S12">
        <v>1164.4207517919929</v>
      </c>
    </row>
    <row r="13" spans="1:19" x14ac:dyDescent="0.3">
      <c r="D13" t="str">
        <v>INV1043</v>
      </c>
      <c r="E13" t="str">
        <v>Branch C</v>
      </c>
      <c r="F13" t="str">
        <v>Mandalay</v>
      </c>
      <c r="G13">
        <v>1233</v>
      </c>
      <c r="H13" t="str">
        <v>Member</v>
      </c>
      <c r="I13" t="str">
        <v>Female</v>
      </c>
      <c r="J13" t="str">
        <v>Electronics</v>
      </c>
      <c r="K13" s="1">
        <v>45308</v>
      </c>
      <c r="L13">
        <v>69.566408458628501</v>
      </c>
      <c r="M13">
        <v>3</v>
      </c>
      <c r="N13">
        <v>208.69922537588499</v>
      </c>
      <c r="O13">
        <v>62.609767612765602</v>
      </c>
      <c r="P13" t="str">
        <v>Cash</v>
      </c>
      <c r="Q13">
        <v>146.08945776311938</v>
      </c>
      <c r="R13">
        <v>0.30000000000000054</v>
      </c>
      <c r="S13">
        <v>626.09767612765495</v>
      </c>
    </row>
    <row r="14" spans="1:19" x14ac:dyDescent="0.3">
      <c r="D14" t="str">
        <v>INV1044</v>
      </c>
      <c r="E14" t="str">
        <v>Branch A</v>
      </c>
      <c r="F14" t="str">
        <v>Yangon</v>
      </c>
      <c r="G14">
        <v>1792</v>
      </c>
      <c r="H14" t="str">
        <v>Normal</v>
      </c>
      <c r="I14" t="str">
        <v>Male</v>
      </c>
      <c r="J14" t="str">
        <v>Electronics</v>
      </c>
      <c r="K14" s="1">
        <v>45379</v>
      </c>
      <c r="L14">
        <v>120.61790200986</v>
      </c>
      <c r="M14">
        <v>3</v>
      </c>
      <c r="N14">
        <v>361.85370602958</v>
      </c>
      <c r="O14">
        <v>108.55611180887399</v>
      </c>
      <c r="P14" t="str">
        <v>E-Wallet</v>
      </c>
      <c r="Q14">
        <v>253.297594220706</v>
      </c>
      <c r="R14">
        <v>0.3</v>
      </c>
      <c r="S14">
        <v>1085.5611180887399</v>
      </c>
    </row>
    <row r="15" spans="1:19" x14ac:dyDescent="0.3">
      <c r="D15" t="str">
        <v>INV1057</v>
      </c>
      <c r="E15" t="str">
        <v>Branch C</v>
      </c>
      <c r="F15" t="str">
        <v>Yangon</v>
      </c>
      <c r="G15">
        <v>1212</v>
      </c>
      <c r="H15" t="str">
        <v>Normal</v>
      </c>
      <c r="I15" t="str">
        <v>Male</v>
      </c>
      <c r="J15" t="str">
        <v>Electronics</v>
      </c>
      <c r="K15" s="1">
        <v>45376</v>
      </c>
      <c r="L15">
        <v>140.533792677695</v>
      </c>
      <c r="M15">
        <v>5</v>
      </c>
      <c r="N15">
        <v>702.66896338847596</v>
      </c>
      <c r="O15">
        <v>210.80068901654201</v>
      </c>
      <c r="P15" t="str">
        <v>E-Wallet</v>
      </c>
      <c r="Q15">
        <v>491.86827437193392</v>
      </c>
      <c r="R15">
        <v>0.29999999999999893</v>
      </c>
      <c r="S15">
        <v>3513.34481694238</v>
      </c>
    </row>
    <row r="16" spans="1:19" x14ac:dyDescent="0.3">
      <c r="D16" t="str">
        <v>INV1058</v>
      </c>
      <c r="E16" t="str">
        <v>Branch A</v>
      </c>
      <c r="F16" t="str">
        <v>Yangon</v>
      </c>
      <c r="G16">
        <v>1928</v>
      </c>
      <c r="H16" t="str">
        <v>Member</v>
      </c>
      <c r="I16" t="str">
        <v>Male</v>
      </c>
      <c r="J16" t="str">
        <v>Electronics</v>
      </c>
      <c r="K16" s="1">
        <v>45312</v>
      </c>
      <c r="L16">
        <v>293.36022758495602</v>
      </c>
      <c r="M16">
        <v>6</v>
      </c>
      <c r="N16">
        <v>1760.1613655097301</v>
      </c>
      <c r="O16">
        <v>528.04840965292101</v>
      </c>
      <c r="P16" t="str">
        <v>Credit Card</v>
      </c>
      <c r="Q16">
        <v>1232.1129558568091</v>
      </c>
      <c r="R16">
        <v>0.3000000000000011</v>
      </c>
      <c r="S16">
        <v>10560.968193058381</v>
      </c>
    </row>
    <row r="17" spans="4:19" x14ac:dyDescent="0.3">
      <c r="D17" t="str">
        <v>INV1063</v>
      </c>
      <c r="E17" t="str">
        <v>Branch B</v>
      </c>
      <c r="F17" t="str">
        <v>Mandalay</v>
      </c>
      <c r="G17">
        <v>1104</v>
      </c>
      <c r="H17" t="str">
        <v>Member</v>
      </c>
      <c r="I17" t="str">
        <v>Male</v>
      </c>
      <c r="J17" t="str">
        <v>Electronics</v>
      </c>
      <c r="K17" s="1">
        <v>45365</v>
      </c>
      <c r="L17">
        <v>65.046437861925199</v>
      </c>
      <c r="M17">
        <v>4</v>
      </c>
      <c r="N17">
        <v>260.1857514477</v>
      </c>
      <c r="O17">
        <v>78.055725434310204</v>
      </c>
      <c r="P17" t="str">
        <v>Cash</v>
      </c>
      <c r="Q17">
        <v>182.1300260133898</v>
      </c>
      <c r="R17">
        <v>0.30000000000000077</v>
      </c>
      <c r="S17">
        <v>1040.7430057908</v>
      </c>
    </row>
    <row r="18" spans="4:19" x14ac:dyDescent="0.3">
      <c r="D18" t="str">
        <v>INV1069</v>
      </c>
      <c r="E18" t="str">
        <v>Branch B</v>
      </c>
      <c r="F18" t="str">
        <v>Naypyidaw</v>
      </c>
      <c r="G18">
        <v>1762</v>
      </c>
      <c r="H18" t="str">
        <v>Member</v>
      </c>
      <c r="I18" t="str">
        <v>Female</v>
      </c>
      <c r="J18" t="str">
        <v>Electronics</v>
      </c>
      <c r="K18" s="1">
        <v>45373</v>
      </c>
      <c r="L18">
        <v>159.869082347165</v>
      </c>
      <c r="M18">
        <v>5</v>
      </c>
      <c r="N18">
        <v>799.34541173582897</v>
      </c>
      <c r="O18">
        <v>239.803623520748</v>
      </c>
      <c r="P18" t="str">
        <v>E-Wallet</v>
      </c>
      <c r="Q18">
        <v>559.54178821508094</v>
      </c>
      <c r="R18">
        <v>0.29999999999999916</v>
      </c>
      <c r="S18">
        <v>3996.7270586791446</v>
      </c>
    </row>
    <row r="19" spans="4:19" x14ac:dyDescent="0.3">
      <c r="D19" t="str">
        <v>INV1070</v>
      </c>
      <c r="E19" t="str">
        <v>Branch A</v>
      </c>
      <c r="F19" t="str">
        <v>Naypyidaw</v>
      </c>
      <c r="G19">
        <v>2244</v>
      </c>
      <c r="H19" t="str">
        <v>Member</v>
      </c>
      <c r="I19" t="str">
        <v>Female</v>
      </c>
      <c r="J19" t="str">
        <v>Electronics</v>
      </c>
      <c r="K19" s="1">
        <v>45308</v>
      </c>
      <c r="L19">
        <v>224.646796940824</v>
      </c>
      <c r="M19">
        <v>2</v>
      </c>
      <c r="N19">
        <v>449.29359388164801</v>
      </c>
      <c r="O19">
        <v>134.78807816449401</v>
      </c>
      <c r="P19" t="str">
        <v>E-Wallet</v>
      </c>
      <c r="Q19">
        <v>314.50551571715403</v>
      </c>
      <c r="R19">
        <v>0.29999999999999905</v>
      </c>
      <c r="S19">
        <v>898.58718776329601</v>
      </c>
    </row>
    <row r="20" spans="4:19" x14ac:dyDescent="0.3">
      <c r="D20" t="str">
        <v>INV1071</v>
      </c>
      <c r="E20" t="str">
        <v>Branch C</v>
      </c>
      <c r="F20" t="str">
        <v>Naypyidaw</v>
      </c>
      <c r="G20">
        <v>1378</v>
      </c>
      <c r="H20" t="str">
        <v>Normal</v>
      </c>
      <c r="I20" t="str">
        <v>Female</v>
      </c>
      <c r="J20" t="str">
        <v>Electronics</v>
      </c>
      <c r="K20" s="1">
        <v>45364</v>
      </c>
      <c r="L20">
        <v>192.90313663604701</v>
      </c>
      <c r="M20">
        <v>4</v>
      </c>
      <c r="N20">
        <v>771.61254654418997</v>
      </c>
      <c r="O20">
        <v>231.48376396325699</v>
      </c>
      <c r="P20" t="str">
        <v>Cash</v>
      </c>
      <c r="Q20">
        <v>540.12878258093292</v>
      </c>
      <c r="R20">
        <v>0.3000000000000001</v>
      </c>
      <c r="S20">
        <v>3086.4501861767599</v>
      </c>
    </row>
    <row r="21" spans="4:19" x14ac:dyDescent="0.3">
      <c r="D21" t="str">
        <v>INV1081</v>
      </c>
      <c r="E21" t="str">
        <v>Branch C</v>
      </c>
      <c r="F21" t="str">
        <v>Mandalay</v>
      </c>
      <c r="G21">
        <v>1711</v>
      </c>
      <c r="H21" t="str">
        <v>Member</v>
      </c>
      <c r="I21" t="str">
        <v>Male</v>
      </c>
      <c r="J21" t="str">
        <v>Electronics</v>
      </c>
      <c r="K21" s="1">
        <v>45370</v>
      </c>
      <c r="L21">
        <v>142.82644138379499</v>
      </c>
      <c r="M21">
        <v>5</v>
      </c>
      <c r="N21">
        <v>714.13220691897504</v>
      </c>
      <c r="O21">
        <v>214.239662075692</v>
      </c>
      <c r="P21" t="str">
        <v>Credit Card</v>
      </c>
      <c r="Q21">
        <v>499.89254484328308</v>
      </c>
      <c r="R21">
        <v>0.29999999999999921</v>
      </c>
      <c r="S21">
        <v>3570.6610345948752</v>
      </c>
    </row>
    <row r="22" spans="4:19" x14ac:dyDescent="0.3">
      <c r="D22" t="str">
        <v>INV1093</v>
      </c>
      <c r="E22" t="str">
        <v>Branch A</v>
      </c>
      <c r="F22" t="str">
        <v>Naypyidaw</v>
      </c>
      <c r="G22">
        <v>1288</v>
      </c>
      <c r="H22" t="str">
        <v>Normal</v>
      </c>
      <c r="I22" t="str">
        <v>Female</v>
      </c>
      <c r="J22" t="str">
        <v>Electronics</v>
      </c>
      <c r="K22" s="1">
        <v>45373</v>
      </c>
      <c r="L22">
        <v>10.585370146987801</v>
      </c>
      <c r="M22">
        <v>3</v>
      </c>
      <c r="N22">
        <v>31.7561104409635</v>
      </c>
      <c r="O22">
        <v>9.5268331322890507</v>
      </c>
      <c r="P22" t="str">
        <v>Credit Card</v>
      </c>
      <c r="Q22">
        <v>22.229277308674448</v>
      </c>
      <c r="R22">
        <v>0.3000000000000001</v>
      </c>
      <c r="S22">
        <v>95.268331322890504</v>
      </c>
    </row>
    <row r="23" spans="4:19" x14ac:dyDescent="0.3">
      <c r="D23" t="str">
        <v>INV1097</v>
      </c>
      <c r="E23" t="str">
        <v>Branch A</v>
      </c>
      <c r="F23" t="str">
        <v>Naypyidaw</v>
      </c>
      <c r="G23">
        <v>1893</v>
      </c>
      <c r="H23" t="str">
        <v>Normal</v>
      </c>
      <c r="I23" t="str">
        <v>Male</v>
      </c>
      <c r="J23" t="str">
        <v>Electronics</v>
      </c>
      <c r="K23" s="1">
        <v>45333</v>
      </c>
      <c r="L23">
        <v>187.55486372093401</v>
      </c>
      <c r="M23">
        <v>3</v>
      </c>
      <c r="N23">
        <v>562.66459116280396</v>
      </c>
      <c r="O23">
        <v>168.79937734884101</v>
      </c>
      <c r="P23" t="str">
        <v>Cash</v>
      </c>
      <c r="Q23">
        <v>393.86521381396295</v>
      </c>
      <c r="R23">
        <v>0.29999999999999966</v>
      </c>
      <c r="S23">
        <v>1687.993773488412</v>
      </c>
    </row>
    <row r="24" spans="4:19" x14ac:dyDescent="0.3">
      <c r="D24" t="str">
        <v>INV1101</v>
      </c>
      <c r="E24" t="str">
        <v>Branch C</v>
      </c>
      <c r="F24" t="str">
        <v>Naypyidaw</v>
      </c>
      <c r="G24">
        <v>1375</v>
      </c>
      <c r="H24" t="str">
        <v>Normal</v>
      </c>
      <c r="I24" t="str">
        <v>Female</v>
      </c>
      <c r="J24" t="str">
        <v>Electronics</v>
      </c>
      <c r="K24" s="1">
        <v>45367</v>
      </c>
      <c r="L24">
        <v>233.96729439794899</v>
      </c>
      <c r="M24">
        <v>1</v>
      </c>
      <c r="N24">
        <v>233.96729439794899</v>
      </c>
      <c r="O24">
        <v>70.190188319384802</v>
      </c>
      <c r="P24" t="str">
        <v>Credit Card</v>
      </c>
      <c r="Q24">
        <v>163.7771060785642</v>
      </c>
      <c r="R24">
        <v>0.30000000000000038</v>
      </c>
      <c r="S24">
        <v>233.96729439794899</v>
      </c>
    </row>
    <row r="25" spans="4:19" x14ac:dyDescent="0.3">
      <c r="D25" t="str">
        <v>INV1107</v>
      </c>
      <c r="E25" t="str">
        <v>Branch A</v>
      </c>
      <c r="F25" t="str">
        <v>Mandalay</v>
      </c>
      <c r="G25">
        <v>2333</v>
      </c>
      <c r="H25" t="str">
        <v>Member</v>
      </c>
      <c r="I25" t="str">
        <v>Male</v>
      </c>
      <c r="J25" t="str">
        <v>Electronics</v>
      </c>
      <c r="K25" s="1">
        <v>45346</v>
      </c>
      <c r="L25">
        <v>281.517470429833</v>
      </c>
      <c r="M25">
        <v>8</v>
      </c>
      <c r="N25">
        <v>2252.1397634386599</v>
      </c>
      <c r="O25">
        <v>675.64192903159994</v>
      </c>
      <c r="P25" t="str">
        <v>Credit Card</v>
      </c>
      <c r="Q25">
        <v>1576.4978344070601</v>
      </c>
      <c r="R25">
        <v>0.30000000000000082</v>
      </c>
      <c r="S25">
        <v>18017.118107509279</v>
      </c>
    </row>
    <row r="26" spans="4:19" x14ac:dyDescent="0.3">
      <c r="D26" t="str">
        <v>INV1108</v>
      </c>
      <c r="E26" t="str">
        <v>Branch C</v>
      </c>
      <c r="F26" t="str">
        <v>Mandalay</v>
      </c>
      <c r="G26">
        <v>2304</v>
      </c>
      <c r="H26" t="str">
        <v>Member</v>
      </c>
      <c r="I26" t="str">
        <v>Male</v>
      </c>
      <c r="J26" t="str">
        <v>Electronics</v>
      </c>
      <c r="K26" s="1">
        <v>45317</v>
      </c>
      <c r="L26">
        <v>167.177121718032</v>
      </c>
      <c r="M26">
        <v>1</v>
      </c>
      <c r="N26">
        <v>167.177121718032</v>
      </c>
      <c r="O26">
        <v>50.153136515409599</v>
      </c>
      <c r="P26" t="str">
        <v>Cash</v>
      </c>
      <c r="Q26">
        <v>117.0239852026224</v>
      </c>
      <c r="R26">
        <v>0.3</v>
      </c>
      <c r="S26">
        <v>167.177121718032</v>
      </c>
    </row>
    <row r="27" spans="4:19" x14ac:dyDescent="0.3">
      <c r="D27" t="str">
        <v>INV1121</v>
      </c>
      <c r="E27" t="str">
        <v>Branch A</v>
      </c>
      <c r="F27" t="str">
        <v>Naypyidaw</v>
      </c>
      <c r="G27">
        <v>2325</v>
      </c>
      <c r="H27" t="str">
        <v>Member</v>
      </c>
      <c r="I27" t="str">
        <v>Female</v>
      </c>
      <c r="J27" t="str">
        <v>Electronics</v>
      </c>
      <c r="K27" s="1">
        <v>45316</v>
      </c>
      <c r="L27">
        <v>244.084902449444</v>
      </c>
      <c r="M27">
        <v>2</v>
      </c>
      <c r="N27">
        <v>488.16980489888903</v>
      </c>
      <c r="O27">
        <v>146.45094146966599</v>
      </c>
      <c r="P27" t="str">
        <v>Cash</v>
      </c>
      <c r="Q27">
        <v>341.71886342922301</v>
      </c>
      <c r="R27">
        <v>0.2999999999999986</v>
      </c>
      <c r="S27">
        <v>976.33960979777805</v>
      </c>
    </row>
    <row r="28" spans="4:19" x14ac:dyDescent="0.3">
      <c r="D28" t="str">
        <v>INV1122</v>
      </c>
      <c r="E28" t="str">
        <v>Branch C</v>
      </c>
      <c r="F28" t="str">
        <v>Naypyidaw</v>
      </c>
      <c r="G28">
        <v>1037</v>
      </c>
      <c r="H28" t="str">
        <v>Member</v>
      </c>
      <c r="I28" t="str">
        <v>Female</v>
      </c>
      <c r="J28" t="str">
        <v>Electronics</v>
      </c>
      <c r="K28" s="1">
        <v>45301</v>
      </c>
      <c r="L28">
        <v>259.782691486376</v>
      </c>
      <c r="M28">
        <v>8</v>
      </c>
      <c r="N28">
        <v>2078.2615318910098</v>
      </c>
      <c r="O28">
        <v>623.47845956730305</v>
      </c>
      <c r="P28" t="str">
        <v>Cash</v>
      </c>
      <c r="Q28">
        <v>1454.7830723237066</v>
      </c>
      <c r="R28">
        <v>0.3000000000000001</v>
      </c>
      <c r="S28">
        <v>16626.092255128078</v>
      </c>
    </row>
    <row r="29" spans="4:19" x14ac:dyDescent="0.3">
      <c r="D29" t="str">
        <v>INV1129</v>
      </c>
      <c r="E29" t="str">
        <v>Branch C</v>
      </c>
      <c r="F29" t="str">
        <v>Yangon</v>
      </c>
      <c r="G29">
        <v>1747</v>
      </c>
      <c r="H29" t="str">
        <v>Member</v>
      </c>
      <c r="I29" t="str">
        <v>Male</v>
      </c>
      <c r="J29" t="str">
        <v>Electronics</v>
      </c>
      <c r="K29" s="1">
        <v>45307</v>
      </c>
      <c r="L29">
        <v>204.495902360874</v>
      </c>
      <c r="M29">
        <v>2</v>
      </c>
      <c r="N29">
        <v>408.991804721748</v>
      </c>
      <c r="O29">
        <v>122.697541416524</v>
      </c>
      <c r="P29" t="str">
        <v>Cash</v>
      </c>
      <c r="Q29">
        <v>286.29426330522398</v>
      </c>
      <c r="R29">
        <v>0.29999999999999905</v>
      </c>
      <c r="S29">
        <v>817.98360944349599</v>
      </c>
    </row>
    <row r="30" spans="4:19" x14ac:dyDescent="0.3">
      <c r="D30" t="str">
        <v>INV1131</v>
      </c>
      <c r="E30" t="str">
        <v>Branch C</v>
      </c>
      <c r="F30" t="str">
        <v>Naypyidaw</v>
      </c>
      <c r="G30">
        <v>2184</v>
      </c>
      <c r="H30" t="str">
        <v>Member</v>
      </c>
      <c r="I30" t="str">
        <v>Female</v>
      </c>
      <c r="J30" t="str">
        <v>Electronics</v>
      </c>
      <c r="K30" s="1">
        <v>45371</v>
      </c>
      <c r="L30">
        <v>69.167153064187801</v>
      </c>
      <c r="M30">
        <v>3</v>
      </c>
      <c r="N30">
        <v>207.501459192563</v>
      </c>
      <c r="O30">
        <v>62.250437757768999</v>
      </c>
      <c r="P30" t="str">
        <v>E-Wallet</v>
      </c>
      <c r="Q30">
        <v>145.25102143479401</v>
      </c>
      <c r="R30">
        <v>0.30000000000000043</v>
      </c>
      <c r="S30">
        <v>622.50437757768896</v>
      </c>
    </row>
    <row r="31" spans="4:19" x14ac:dyDescent="0.3">
      <c r="D31" t="str">
        <v>INV1168</v>
      </c>
      <c r="E31" t="str">
        <v>Branch A</v>
      </c>
      <c r="F31" t="str">
        <v>Naypyidaw</v>
      </c>
      <c r="G31">
        <v>1998</v>
      </c>
      <c r="H31" t="str">
        <v>Normal</v>
      </c>
      <c r="I31" t="str">
        <v>Male</v>
      </c>
      <c r="J31" t="str">
        <v>Electronics</v>
      </c>
      <c r="K31" s="1">
        <v>45370</v>
      </c>
      <c r="L31">
        <v>129.28844528475099</v>
      </c>
      <c r="M31">
        <v>7</v>
      </c>
      <c r="N31">
        <v>905.01911699326195</v>
      </c>
      <c r="O31">
        <v>271.505735097978</v>
      </c>
      <c r="P31" t="str">
        <v>Cash</v>
      </c>
      <c r="Q31">
        <v>633.51338189528394</v>
      </c>
      <c r="R31">
        <v>0.29999999999999938</v>
      </c>
      <c r="S31">
        <v>6335.1338189528333</v>
      </c>
    </row>
    <row r="32" spans="4:19" x14ac:dyDescent="0.3">
      <c r="D32" t="str">
        <v>INV1169</v>
      </c>
      <c r="E32" t="str">
        <v>Branch A</v>
      </c>
      <c r="F32" t="str">
        <v>Mandalay</v>
      </c>
      <c r="G32">
        <v>1823</v>
      </c>
      <c r="H32" t="str">
        <v>Member</v>
      </c>
      <c r="I32" t="str">
        <v>Female</v>
      </c>
      <c r="J32" t="str">
        <v>Electronics</v>
      </c>
      <c r="K32" s="1">
        <v>45368</v>
      </c>
      <c r="L32">
        <v>263.37964685284499</v>
      </c>
      <c r="M32">
        <v>6</v>
      </c>
      <c r="N32">
        <v>1580.2778811170699</v>
      </c>
      <c r="O32">
        <v>474.08336433512102</v>
      </c>
      <c r="P32" t="str">
        <v>Cash</v>
      </c>
      <c r="Q32">
        <v>1106.194516781949</v>
      </c>
      <c r="R32">
        <v>0.29999999999999993</v>
      </c>
      <c r="S32">
        <v>9481.667286702419</v>
      </c>
    </row>
    <row r="33" spans="4:19" x14ac:dyDescent="0.3">
      <c r="D33" t="str">
        <v>INV1175</v>
      </c>
      <c r="E33" t="str">
        <v>Branch C</v>
      </c>
      <c r="F33" t="str">
        <v>Naypyidaw</v>
      </c>
      <c r="G33">
        <v>2276</v>
      </c>
      <c r="H33" t="str">
        <v>Normal</v>
      </c>
      <c r="I33" t="str">
        <v>Male</v>
      </c>
      <c r="J33" t="str">
        <v>Electronics</v>
      </c>
      <c r="K33" s="1">
        <v>45311</v>
      </c>
      <c r="L33">
        <v>237.35633401991299</v>
      </c>
      <c r="M33">
        <v>6</v>
      </c>
      <c r="N33">
        <v>1424.13800411947</v>
      </c>
      <c r="O33">
        <v>427.241401235843</v>
      </c>
      <c r="P33" t="str">
        <v>Credit Card</v>
      </c>
      <c r="Q33">
        <v>996.896602883627</v>
      </c>
      <c r="R33">
        <v>0.30000000000000143</v>
      </c>
      <c r="S33">
        <v>8544.8280247168204</v>
      </c>
    </row>
    <row r="34" spans="4:19" x14ac:dyDescent="0.3">
      <c r="D34" t="str">
        <v>INV1181</v>
      </c>
      <c r="E34" t="str">
        <v>Branch A</v>
      </c>
      <c r="F34" t="str">
        <v>Mandalay</v>
      </c>
      <c r="G34">
        <v>2203</v>
      </c>
      <c r="H34" t="str">
        <v>Member</v>
      </c>
      <c r="I34" t="str">
        <v>Female</v>
      </c>
      <c r="J34" t="str">
        <v>Electronics</v>
      </c>
      <c r="K34" s="1">
        <v>45331</v>
      </c>
      <c r="L34">
        <v>181.16747115375799</v>
      </c>
      <c r="M34">
        <v>1</v>
      </c>
      <c r="N34">
        <v>181.16747115375799</v>
      </c>
      <c r="O34">
        <v>54.350241346127603</v>
      </c>
      <c r="P34" t="str">
        <v>E-Wallet</v>
      </c>
      <c r="Q34">
        <v>126.81722980763038</v>
      </c>
      <c r="R34">
        <v>0.30000000000000115</v>
      </c>
      <c r="S34">
        <v>181.16747115375799</v>
      </c>
    </row>
    <row r="35" spans="4:19" x14ac:dyDescent="0.3">
      <c r="D35" t="str">
        <v>INV1182</v>
      </c>
      <c r="E35" t="str">
        <v>Branch C</v>
      </c>
      <c r="F35" t="str">
        <v>Naypyidaw</v>
      </c>
      <c r="G35">
        <v>2438</v>
      </c>
      <c r="H35" t="str">
        <v>Normal</v>
      </c>
      <c r="I35" t="str">
        <v>Female</v>
      </c>
      <c r="J35" t="str">
        <v>Electronics</v>
      </c>
      <c r="K35" s="1">
        <v>45357</v>
      </c>
      <c r="L35">
        <v>128.21352881409999</v>
      </c>
      <c r="M35">
        <v>5</v>
      </c>
      <c r="N35">
        <v>641.06764407050002</v>
      </c>
      <c r="O35">
        <v>192.32029322115</v>
      </c>
      <c r="P35" t="str">
        <v>Credit Card</v>
      </c>
      <c r="Q35">
        <v>448.74735084935003</v>
      </c>
      <c r="R35">
        <v>0.3</v>
      </c>
      <c r="S35">
        <v>3205.3382203525002</v>
      </c>
    </row>
    <row r="36" spans="4:19" x14ac:dyDescent="0.3">
      <c r="D36" t="str">
        <v>INV1196</v>
      </c>
      <c r="E36" t="str">
        <v>Branch B</v>
      </c>
      <c r="F36" t="str">
        <v>Naypyidaw</v>
      </c>
      <c r="G36">
        <v>1639</v>
      </c>
      <c r="H36" t="str">
        <v>Normal</v>
      </c>
      <c r="I36" t="str">
        <v>Female</v>
      </c>
      <c r="J36" t="str">
        <v>Electronics</v>
      </c>
      <c r="K36" s="1">
        <v>45362</v>
      </c>
      <c r="L36">
        <v>218.964009106877</v>
      </c>
      <c r="M36">
        <v>2</v>
      </c>
      <c r="N36">
        <v>437.92801821375502</v>
      </c>
      <c r="O36">
        <v>131.37840546412599</v>
      </c>
      <c r="P36" t="str">
        <v>Cash</v>
      </c>
      <c r="Q36">
        <v>306.54961274962903</v>
      </c>
      <c r="R36">
        <v>0.29999999999999882</v>
      </c>
      <c r="S36">
        <v>875.85603642751005</v>
      </c>
    </row>
    <row r="37" spans="4:19" x14ac:dyDescent="0.3">
      <c r="D37" t="str">
        <v>INV1205</v>
      </c>
      <c r="E37" t="str">
        <v>Branch B</v>
      </c>
      <c r="F37" t="str">
        <v>Mandalay</v>
      </c>
      <c r="G37">
        <v>1456</v>
      </c>
      <c r="H37" t="str">
        <v>Normal</v>
      </c>
      <c r="I37" t="str">
        <v>Male</v>
      </c>
      <c r="J37" t="str">
        <v>Electronics</v>
      </c>
      <c r="K37" s="1">
        <v>45350</v>
      </c>
      <c r="L37">
        <v>225.33394152372199</v>
      </c>
      <c r="M37">
        <v>6</v>
      </c>
      <c r="N37">
        <v>1352.00364914233</v>
      </c>
      <c r="O37">
        <v>405.60109474270001</v>
      </c>
      <c r="P37" t="str">
        <v>E-Wallet</v>
      </c>
      <c r="Q37">
        <v>946.40255439962993</v>
      </c>
      <c r="R37">
        <v>0.30000000000000077</v>
      </c>
      <c r="S37">
        <v>8112.0218948539805</v>
      </c>
    </row>
    <row r="38" spans="4:19" x14ac:dyDescent="0.3">
      <c r="D38" t="str">
        <v>INV1215</v>
      </c>
      <c r="E38" t="str">
        <v>Branch B</v>
      </c>
      <c r="F38" t="str">
        <v>Yangon</v>
      </c>
      <c r="G38">
        <v>2451</v>
      </c>
      <c r="H38" t="str">
        <v>Member</v>
      </c>
      <c r="I38" t="str">
        <v>Female</v>
      </c>
      <c r="J38" t="str">
        <v>Electronics</v>
      </c>
      <c r="K38" s="1">
        <v>45300</v>
      </c>
      <c r="L38">
        <v>77.217241183911497</v>
      </c>
      <c r="M38">
        <v>2</v>
      </c>
      <c r="N38">
        <v>154.43448236782299</v>
      </c>
      <c r="O38">
        <v>46.3303447103469</v>
      </c>
      <c r="P38" t="str">
        <v>E-Wallet</v>
      </c>
      <c r="Q38">
        <v>108.10413765747609</v>
      </c>
      <c r="R38">
        <v>0.30000000000000004</v>
      </c>
      <c r="S38">
        <v>308.86896473564599</v>
      </c>
    </row>
    <row r="39" spans="4:19" x14ac:dyDescent="0.3">
      <c r="D39" t="str">
        <v>INV1220</v>
      </c>
      <c r="E39" t="str">
        <v>Branch A</v>
      </c>
      <c r="F39" t="str">
        <v>Mandalay</v>
      </c>
      <c r="G39">
        <v>2116</v>
      </c>
      <c r="H39" t="str">
        <v>Normal</v>
      </c>
      <c r="I39" t="str">
        <v>Female</v>
      </c>
      <c r="J39" t="str">
        <v>Electronics</v>
      </c>
      <c r="K39" s="1">
        <v>45317</v>
      </c>
      <c r="L39">
        <v>111.178121762128</v>
      </c>
      <c r="M39">
        <v>1</v>
      </c>
      <c r="N39">
        <v>111.178121762128</v>
      </c>
      <c r="O39">
        <v>33.353436528638603</v>
      </c>
      <c r="P39" t="str">
        <v>E-Wallet</v>
      </c>
      <c r="Q39">
        <v>77.82468523348939</v>
      </c>
      <c r="R39">
        <v>0.30000000000000188</v>
      </c>
      <c r="S39">
        <v>111.178121762128</v>
      </c>
    </row>
    <row r="40" spans="4:19" x14ac:dyDescent="0.3">
      <c r="D40" t="str">
        <v>INV1227</v>
      </c>
      <c r="E40" t="str">
        <v>Branch B</v>
      </c>
      <c r="F40" t="str">
        <v>Yangon</v>
      </c>
      <c r="G40">
        <v>2163</v>
      </c>
      <c r="H40" t="str">
        <v>Normal</v>
      </c>
      <c r="I40" t="str">
        <v>Male</v>
      </c>
      <c r="J40" t="str">
        <v>Electronics</v>
      </c>
      <c r="K40" s="1">
        <v>45379</v>
      </c>
      <c r="L40">
        <v>13.842799716134</v>
      </c>
      <c r="M40">
        <v>7</v>
      </c>
      <c r="N40">
        <v>96.899598012938398</v>
      </c>
      <c r="O40">
        <v>29.069879403881501</v>
      </c>
      <c r="P40" t="str">
        <v>Cash</v>
      </c>
      <c r="Q40">
        <v>67.829718609056897</v>
      </c>
      <c r="R40">
        <v>0.29999999999999982</v>
      </c>
      <c r="S40">
        <v>678.29718609056874</v>
      </c>
    </row>
    <row r="41" spans="4:19" x14ac:dyDescent="0.3">
      <c r="D41" t="str">
        <v>INV1245</v>
      </c>
      <c r="E41" t="str">
        <v>Branch A</v>
      </c>
      <c r="F41" t="str">
        <v>Mandalay</v>
      </c>
      <c r="G41">
        <v>1098</v>
      </c>
      <c r="H41" t="str">
        <v>Member</v>
      </c>
      <c r="I41" t="str">
        <v>Male</v>
      </c>
      <c r="J41" t="str">
        <v>Electronics</v>
      </c>
      <c r="K41" s="1">
        <v>45304</v>
      </c>
      <c r="L41">
        <v>45.2336634154519</v>
      </c>
      <c r="M41">
        <v>4</v>
      </c>
      <c r="N41">
        <v>180.934653661807</v>
      </c>
      <c r="O41">
        <v>54.280396098542298</v>
      </c>
      <c r="P41" t="str">
        <v>Credit Card</v>
      </c>
      <c r="Q41">
        <v>126.65425756326471</v>
      </c>
      <c r="R41">
        <v>0.3000000000000011</v>
      </c>
      <c r="S41">
        <v>723.73861464722802</v>
      </c>
    </row>
    <row r="42" spans="4:19" x14ac:dyDescent="0.3">
      <c r="D42" t="str">
        <v>INV1247</v>
      </c>
      <c r="E42" t="str">
        <v>Branch C</v>
      </c>
      <c r="F42" t="str">
        <v>Mandalay</v>
      </c>
      <c r="G42">
        <v>1838</v>
      </c>
      <c r="H42" t="str">
        <v>Member</v>
      </c>
      <c r="I42" t="str">
        <v>Female</v>
      </c>
      <c r="J42" t="str">
        <v>Electronics</v>
      </c>
      <c r="K42" s="1">
        <v>45377</v>
      </c>
      <c r="L42">
        <v>178.82170419756099</v>
      </c>
      <c r="M42">
        <v>3</v>
      </c>
      <c r="N42">
        <v>536.46511259268402</v>
      </c>
      <c r="O42">
        <v>160.939533777805</v>
      </c>
      <c r="P42" t="str">
        <v>Cash</v>
      </c>
      <c r="Q42">
        <v>375.52557881487905</v>
      </c>
      <c r="R42">
        <v>0.29999999999999954</v>
      </c>
      <c r="S42">
        <v>1609.3953377780522</v>
      </c>
    </row>
    <row r="43" spans="4:19" x14ac:dyDescent="0.3">
      <c r="D43" t="str">
        <v>INV1252</v>
      </c>
      <c r="E43" t="str">
        <v>Branch C</v>
      </c>
      <c r="F43" t="str">
        <v>Yangon</v>
      </c>
      <c r="G43">
        <v>2009</v>
      </c>
      <c r="H43" t="str">
        <v>Normal</v>
      </c>
      <c r="I43" t="str">
        <v>Female</v>
      </c>
      <c r="J43" t="str">
        <v>Electronics</v>
      </c>
      <c r="K43" s="1">
        <v>45293</v>
      </c>
      <c r="L43">
        <v>80.681549932059099</v>
      </c>
      <c r="M43">
        <v>2</v>
      </c>
      <c r="N43">
        <v>161.363099864118</v>
      </c>
      <c r="O43">
        <v>48.408929959235401</v>
      </c>
      <c r="P43" t="str">
        <v>Credit Card</v>
      </c>
      <c r="Q43">
        <v>112.9541699048826</v>
      </c>
      <c r="R43">
        <v>0.3</v>
      </c>
      <c r="S43">
        <v>322.726199728236</v>
      </c>
    </row>
    <row r="44" spans="4:19" x14ac:dyDescent="0.3">
      <c r="D44" t="str">
        <v>INV1264</v>
      </c>
      <c r="E44" t="str">
        <v>Branch C</v>
      </c>
      <c r="F44" t="str">
        <v>Yangon</v>
      </c>
      <c r="G44">
        <v>2405</v>
      </c>
      <c r="H44" t="str">
        <v>Normal</v>
      </c>
      <c r="I44" t="str">
        <v>Male</v>
      </c>
      <c r="J44" t="str">
        <v>Electronics</v>
      </c>
      <c r="K44" s="1">
        <v>45293</v>
      </c>
      <c r="L44">
        <v>69.063469954078599</v>
      </c>
      <c r="M44">
        <v>8</v>
      </c>
      <c r="N44">
        <v>552.50775963262799</v>
      </c>
      <c r="O44">
        <v>165.75232788978801</v>
      </c>
      <c r="P44" t="str">
        <v>Cash</v>
      </c>
      <c r="Q44">
        <v>386.75543174283996</v>
      </c>
      <c r="R44">
        <v>0.29999999999999932</v>
      </c>
      <c r="S44">
        <v>4420.062077061024</v>
      </c>
    </row>
    <row r="45" spans="4:19" x14ac:dyDescent="0.3">
      <c r="D45" t="str">
        <v>INV1268</v>
      </c>
      <c r="E45" t="str">
        <v>Branch C</v>
      </c>
      <c r="F45" t="str">
        <v>Naypyidaw</v>
      </c>
      <c r="G45">
        <v>2385</v>
      </c>
      <c r="H45" t="str">
        <v>Member</v>
      </c>
      <c r="I45" t="str">
        <v>Female</v>
      </c>
      <c r="J45" t="str">
        <v>Electronics</v>
      </c>
      <c r="K45" s="1">
        <v>45301</v>
      </c>
      <c r="L45">
        <v>16.4210278870625</v>
      </c>
      <c r="M45">
        <v>9</v>
      </c>
      <c r="N45">
        <v>147.789250983562</v>
      </c>
      <c r="O45">
        <v>44.336775295068797</v>
      </c>
      <c r="P45" t="str">
        <v>Cash</v>
      </c>
      <c r="Q45">
        <v>103.45247568849319</v>
      </c>
      <c r="R45">
        <v>0.30000000000000138</v>
      </c>
      <c r="S45">
        <v>1330.1032588520579</v>
      </c>
    </row>
    <row r="46" spans="4:19" x14ac:dyDescent="0.3">
      <c r="D46" t="str">
        <v>INV1271</v>
      </c>
      <c r="E46" t="str">
        <v>Branch A</v>
      </c>
      <c r="F46" t="str">
        <v>Yangon</v>
      </c>
      <c r="G46">
        <v>1634</v>
      </c>
      <c r="H46" t="str">
        <v>Normal</v>
      </c>
      <c r="I46" t="str">
        <v>Male</v>
      </c>
      <c r="J46" t="str">
        <v>Electronics</v>
      </c>
      <c r="K46" s="1">
        <v>45299</v>
      </c>
      <c r="L46">
        <v>153.75408756724801</v>
      </c>
      <c r="M46">
        <v>5</v>
      </c>
      <c r="N46">
        <v>768.77043783624197</v>
      </c>
      <c r="O46">
        <v>230.63113135087201</v>
      </c>
      <c r="P46" t="str">
        <v>Cash</v>
      </c>
      <c r="Q46">
        <v>538.13930648536996</v>
      </c>
      <c r="R46">
        <v>0.29999999999999927</v>
      </c>
      <c r="S46">
        <v>3843.8521891812097</v>
      </c>
    </row>
    <row r="47" spans="4:19" x14ac:dyDescent="0.3">
      <c r="D47" t="str">
        <v>INV1282</v>
      </c>
      <c r="E47" t="str">
        <v>Branch C</v>
      </c>
      <c r="F47" t="str">
        <v>Yangon</v>
      </c>
      <c r="G47">
        <v>1616</v>
      </c>
      <c r="H47" t="str">
        <v>Normal</v>
      </c>
      <c r="I47" t="str">
        <v>Female</v>
      </c>
      <c r="J47" t="str">
        <v>Electronics</v>
      </c>
      <c r="K47" s="1">
        <v>45379</v>
      </c>
      <c r="L47">
        <v>187.28761464282701</v>
      </c>
      <c r="M47">
        <v>4</v>
      </c>
      <c r="N47">
        <v>749.15045857130997</v>
      </c>
      <c r="O47">
        <v>224.745137571393</v>
      </c>
      <c r="P47" t="str">
        <v>E-Wallet</v>
      </c>
      <c r="Q47">
        <v>524.40532099991697</v>
      </c>
      <c r="R47">
        <v>0.3</v>
      </c>
      <c r="S47">
        <v>2996.6018342852399</v>
      </c>
    </row>
    <row r="48" spans="4:19" x14ac:dyDescent="0.3">
      <c r="D48" t="str">
        <v>INV1285</v>
      </c>
      <c r="E48" t="str">
        <v>Branch A</v>
      </c>
      <c r="F48" t="str">
        <v>Yangon</v>
      </c>
      <c r="G48">
        <v>2355</v>
      </c>
      <c r="H48" t="str">
        <v>Member</v>
      </c>
      <c r="I48" t="str">
        <v>Female</v>
      </c>
      <c r="J48" t="str">
        <v>Electronics</v>
      </c>
      <c r="K48" s="1">
        <v>45300</v>
      </c>
      <c r="L48">
        <v>128.35452647951701</v>
      </c>
      <c r="M48">
        <v>6</v>
      </c>
      <c r="N48">
        <v>770.12715887710601</v>
      </c>
      <c r="O48">
        <v>231.03814766313101</v>
      </c>
      <c r="P48" t="str">
        <v>E-Wallet</v>
      </c>
      <c r="Q48">
        <v>539.08901121397503</v>
      </c>
      <c r="R48">
        <v>0.29999999999999893</v>
      </c>
      <c r="S48">
        <v>4620.7629532626361</v>
      </c>
    </row>
    <row r="49" spans="4:19" x14ac:dyDescent="0.3">
      <c r="D49" t="str">
        <v>INV1286</v>
      </c>
      <c r="E49" t="str">
        <v>Branch C</v>
      </c>
      <c r="F49" t="str">
        <v>Naypyidaw</v>
      </c>
      <c r="G49">
        <v>1502</v>
      </c>
      <c r="H49" t="str">
        <v>Member</v>
      </c>
      <c r="I49" t="str">
        <v>Male</v>
      </c>
      <c r="J49" t="str">
        <v>Electronics</v>
      </c>
      <c r="K49" s="1">
        <v>45292</v>
      </c>
      <c r="L49">
        <v>266.829731630114</v>
      </c>
      <c r="M49">
        <v>9</v>
      </c>
      <c r="N49">
        <v>2401.4675846710202</v>
      </c>
      <c r="O49">
        <v>720.44027540130799</v>
      </c>
      <c r="P49" t="str">
        <v>Cash</v>
      </c>
      <c r="Q49">
        <v>1681.0273092697121</v>
      </c>
      <c r="R49">
        <v>0.30000000000000088</v>
      </c>
      <c r="S49">
        <v>21613.208262039181</v>
      </c>
    </row>
    <row r="50" spans="4:19" x14ac:dyDescent="0.3">
      <c r="D50" t="str">
        <v>INV1287</v>
      </c>
      <c r="E50" t="str">
        <v>Branch A</v>
      </c>
      <c r="F50" t="str">
        <v>Mandalay</v>
      </c>
      <c r="G50">
        <v>1912</v>
      </c>
      <c r="H50" t="str">
        <v>Member</v>
      </c>
      <c r="I50" t="str">
        <v>Female</v>
      </c>
      <c r="J50" t="str">
        <v>Electronics</v>
      </c>
      <c r="K50" s="1">
        <v>45317</v>
      </c>
      <c r="L50">
        <v>74.351133627468101</v>
      </c>
      <c r="M50">
        <v>7</v>
      </c>
      <c r="N50">
        <v>520.457935392276</v>
      </c>
      <c r="O50">
        <v>156.13738061768299</v>
      </c>
      <c r="P50" t="str">
        <v>E-Wallet</v>
      </c>
      <c r="Q50">
        <v>364.32055477459301</v>
      </c>
      <c r="R50">
        <v>0.30000000000000038</v>
      </c>
      <c r="S50">
        <v>3643.2055477459321</v>
      </c>
    </row>
    <row r="51" spans="4:19" x14ac:dyDescent="0.3">
      <c r="D51" t="str">
        <v>INV1288</v>
      </c>
      <c r="E51" t="str">
        <v>Branch B</v>
      </c>
      <c r="F51" t="str">
        <v>Naypyidaw</v>
      </c>
      <c r="G51">
        <v>1078</v>
      </c>
      <c r="H51" t="str">
        <v>Normal</v>
      </c>
      <c r="I51" t="str">
        <v>Female</v>
      </c>
      <c r="J51" t="str">
        <v>Electronics</v>
      </c>
      <c r="K51" s="1">
        <v>45329</v>
      </c>
      <c r="L51">
        <v>217.24596972353001</v>
      </c>
      <c r="M51">
        <v>7</v>
      </c>
      <c r="N51">
        <v>1520.7217880647099</v>
      </c>
      <c r="O51">
        <v>456.21653641941299</v>
      </c>
      <c r="P51" t="str">
        <v>E-Wallet</v>
      </c>
      <c r="Q51">
        <v>1064.505251645297</v>
      </c>
      <c r="R51">
        <v>0.3</v>
      </c>
      <c r="S51">
        <v>10645.05251645297</v>
      </c>
    </row>
    <row r="52" spans="4:19" x14ac:dyDescent="0.3">
      <c r="D52" t="str">
        <v>INV1310</v>
      </c>
      <c r="E52" t="str">
        <v>Branch A</v>
      </c>
      <c r="F52" t="str">
        <v>Naypyidaw</v>
      </c>
      <c r="G52">
        <v>1893</v>
      </c>
      <c r="H52" t="str">
        <v>Member</v>
      </c>
      <c r="I52" t="str">
        <v>Male</v>
      </c>
      <c r="J52" t="str">
        <v>Electronics</v>
      </c>
      <c r="K52" s="1">
        <v>45324</v>
      </c>
      <c r="L52">
        <v>148.985426075215</v>
      </c>
      <c r="M52">
        <v>7</v>
      </c>
      <c r="N52">
        <v>1042.8979825265101</v>
      </c>
      <c r="O52">
        <v>312.86939475795299</v>
      </c>
      <c r="P52" t="str">
        <v>Cash</v>
      </c>
      <c r="Q52">
        <v>730.02858776855714</v>
      </c>
      <c r="R52">
        <v>0.29999999999999993</v>
      </c>
      <c r="S52">
        <v>7300.2858776855701</v>
      </c>
    </row>
    <row r="53" spans="4:19" x14ac:dyDescent="0.3">
      <c r="D53" t="str">
        <v>INV1313</v>
      </c>
      <c r="E53" t="str">
        <v>Branch C</v>
      </c>
      <c r="F53" t="str">
        <v>Mandalay</v>
      </c>
      <c r="G53">
        <v>1414</v>
      </c>
      <c r="H53" t="str">
        <v>Member</v>
      </c>
      <c r="I53" t="str">
        <v>Female</v>
      </c>
      <c r="J53" t="str">
        <v>Electronics</v>
      </c>
      <c r="K53" s="1">
        <v>45347</v>
      </c>
      <c r="L53">
        <v>255.89908629137099</v>
      </c>
      <c r="M53">
        <v>2</v>
      </c>
      <c r="N53">
        <v>511.79817258274198</v>
      </c>
      <c r="O53">
        <v>153.539451774822</v>
      </c>
      <c r="P53" t="str">
        <v>Cash</v>
      </c>
      <c r="Q53">
        <v>358.25872080791999</v>
      </c>
      <c r="R53">
        <v>0.29999999999999882</v>
      </c>
      <c r="S53">
        <v>1023.596345165484</v>
      </c>
    </row>
    <row r="54" spans="4:19" x14ac:dyDescent="0.3">
      <c r="D54" t="str">
        <v>INV1319</v>
      </c>
      <c r="E54" t="str">
        <v>Branch B</v>
      </c>
      <c r="F54" t="str">
        <v>Yangon</v>
      </c>
      <c r="G54">
        <v>1132</v>
      </c>
      <c r="H54" t="str">
        <v>Member</v>
      </c>
      <c r="I54" t="str">
        <v>Female</v>
      </c>
      <c r="J54" t="str">
        <v>Electronics</v>
      </c>
      <c r="K54" s="1">
        <v>45365</v>
      </c>
      <c r="L54">
        <v>77.1490464298641</v>
      </c>
      <c r="M54">
        <v>6</v>
      </c>
      <c r="N54">
        <v>462.894278579184</v>
      </c>
      <c r="O54">
        <v>138.86828357375501</v>
      </c>
      <c r="P54" t="str">
        <v>Credit Card</v>
      </c>
      <c r="Q54">
        <v>324.02599500542897</v>
      </c>
      <c r="R54">
        <v>0.29999999999999966</v>
      </c>
      <c r="S54">
        <v>2777.3656714751041</v>
      </c>
    </row>
    <row r="55" spans="4:19" x14ac:dyDescent="0.3">
      <c r="D55" t="str">
        <v>INV1322</v>
      </c>
      <c r="E55" t="str">
        <v>Branch C</v>
      </c>
      <c r="F55" t="str">
        <v>Mandalay</v>
      </c>
      <c r="G55">
        <v>2337</v>
      </c>
      <c r="H55" t="str">
        <v>Normal</v>
      </c>
      <c r="I55" t="str">
        <v>Female</v>
      </c>
      <c r="J55" t="str">
        <v>Electronics</v>
      </c>
      <c r="K55" s="1">
        <v>45323</v>
      </c>
      <c r="L55">
        <v>139.45219817632599</v>
      </c>
      <c r="M55">
        <v>1</v>
      </c>
      <c r="N55">
        <v>139.45219817632599</v>
      </c>
      <c r="O55">
        <v>41.8356594528979</v>
      </c>
      <c r="P55" t="str">
        <v>E-Wallet</v>
      </c>
      <c r="Q55">
        <v>97.616538723428093</v>
      </c>
      <c r="R55">
        <v>0.30000000000000071</v>
      </c>
      <c r="S55">
        <v>139.45219817632599</v>
      </c>
    </row>
    <row r="56" spans="4:19" x14ac:dyDescent="0.3">
      <c r="D56" t="str">
        <v>INV1324</v>
      </c>
      <c r="E56" t="str">
        <v>Branch C</v>
      </c>
      <c r="F56" t="str">
        <v>Mandalay</v>
      </c>
      <c r="G56">
        <v>1975</v>
      </c>
      <c r="H56" t="str">
        <v>Member</v>
      </c>
      <c r="I56" t="str">
        <v>Male</v>
      </c>
      <c r="J56" t="str">
        <v>Electronics</v>
      </c>
      <c r="K56" s="1">
        <v>45316</v>
      </c>
      <c r="L56">
        <v>221.478075444956</v>
      </c>
      <c r="M56">
        <v>2</v>
      </c>
      <c r="N56">
        <v>442.95615088991201</v>
      </c>
      <c r="O56">
        <v>132.88684526697301</v>
      </c>
      <c r="P56" t="str">
        <v>Credit Card</v>
      </c>
      <c r="Q56">
        <v>310.069305622939</v>
      </c>
      <c r="R56">
        <v>0.29999999999999866</v>
      </c>
      <c r="S56">
        <v>885.91230177982402</v>
      </c>
    </row>
    <row r="57" spans="4:19" x14ac:dyDescent="0.3">
      <c r="D57" t="str">
        <v>INV1326</v>
      </c>
      <c r="E57" t="str">
        <v>Branch B</v>
      </c>
      <c r="F57" t="str">
        <v>Naypyidaw</v>
      </c>
      <c r="G57">
        <v>2069</v>
      </c>
      <c r="H57" t="str">
        <v>Member</v>
      </c>
      <c r="I57" t="str">
        <v>Female</v>
      </c>
      <c r="J57" t="str">
        <v>Electronics</v>
      </c>
      <c r="K57" s="1">
        <v>45314</v>
      </c>
      <c r="L57">
        <v>214.92393640560201</v>
      </c>
      <c r="M57">
        <v>1</v>
      </c>
      <c r="N57">
        <v>214.92393640560201</v>
      </c>
      <c r="O57">
        <v>64.477180921680798</v>
      </c>
      <c r="P57" t="str">
        <v>Cash</v>
      </c>
      <c r="Q57">
        <v>150.44675548392121</v>
      </c>
      <c r="R57">
        <v>0.30000000000000093</v>
      </c>
      <c r="S57">
        <v>214.92393640560201</v>
      </c>
    </row>
    <row r="58" spans="4:19" x14ac:dyDescent="0.3">
      <c r="D58" t="str">
        <v>INV1331</v>
      </c>
      <c r="E58" t="str">
        <v>Branch A</v>
      </c>
      <c r="F58" t="str">
        <v>Mandalay</v>
      </c>
      <c r="G58">
        <v>2357</v>
      </c>
      <c r="H58" t="str">
        <v>Member</v>
      </c>
      <c r="I58" t="str">
        <v>Female</v>
      </c>
      <c r="J58" t="str">
        <v>Electronics</v>
      </c>
      <c r="K58" s="1">
        <v>45355</v>
      </c>
      <c r="L58">
        <v>279.49363665599702</v>
      </c>
      <c r="M58">
        <v>7</v>
      </c>
      <c r="N58">
        <v>1956.45545659198</v>
      </c>
      <c r="O58">
        <v>586.93663697759405</v>
      </c>
      <c r="P58" t="str">
        <v>E-Wallet</v>
      </c>
      <c r="Q58">
        <v>1369.5188196143858</v>
      </c>
      <c r="R58">
        <v>0.3000000000000001</v>
      </c>
      <c r="S58">
        <v>13695.188196143859</v>
      </c>
    </row>
    <row r="59" spans="4:19" x14ac:dyDescent="0.3">
      <c r="D59" t="str">
        <v>INV1332</v>
      </c>
      <c r="E59" t="str">
        <v>Branch A</v>
      </c>
      <c r="F59" t="str">
        <v>Yangon</v>
      </c>
      <c r="G59">
        <v>1038</v>
      </c>
      <c r="H59" t="str">
        <v>Member</v>
      </c>
      <c r="I59" t="str">
        <v>Female</v>
      </c>
      <c r="J59" t="str">
        <v>Electronics</v>
      </c>
      <c r="K59" s="1">
        <v>45362</v>
      </c>
      <c r="L59">
        <v>119.97569578233001</v>
      </c>
      <c r="M59">
        <v>2</v>
      </c>
      <c r="N59">
        <v>239.95139156466001</v>
      </c>
      <c r="O59">
        <v>71.985417469398101</v>
      </c>
      <c r="P59" t="str">
        <v>E-Wallet</v>
      </c>
      <c r="Q59">
        <v>167.96597409526191</v>
      </c>
      <c r="R59">
        <v>0.30000000000000038</v>
      </c>
      <c r="S59">
        <v>479.90278312932003</v>
      </c>
    </row>
    <row r="60" spans="4:19" x14ac:dyDescent="0.3">
      <c r="D60" t="str">
        <v>INV1336</v>
      </c>
      <c r="E60" t="str">
        <v>Branch A</v>
      </c>
      <c r="F60" t="str">
        <v>Naypyidaw</v>
      </c>
      <c r="G60">
        <v>2354</v>
      </c>
      <c r="H60" t="str">
        <v>Normal</v>
      </c>
      <c r="I60" t="str">
        <v>Female</v>
      </c>
      <c r="J60" t="str">
        <v>Electronics</v>
      </c>
      <c r="K60" s="1">
        <v>45309</v>
      </c>
      <c r="L60">
        <v>193.276717314894</v>
      </c>
      <c r="M60">
        <v>8</v>
      </c>
      <c r="N60">
        <v>1546.21373851915</v>
      </c>
      <c r="O60">
        <v>463.86412155574698</v>
      </c>
      <c r="P60" t="str">
        <v>Credit Card</v>
      </c>
      <c r="Q60">
        <v>1082.3496169634029</v>
      </c>
      <c r="R60">
        <v>0.30000000000000132</v>
      </c>
      <c r="S60">
        <v>12369.7099081532</v>
      </c>
    </row>
    <row r="61" spans="4:19" x14ac:dyDescent="0.3">
      <c r="D61" t="str">
        <v>INV1357</v>
      </c>
      <c r="E61" t="str">
        <v>Branch A</v>
      </c>
      <c r="F61" t="str">
        <v>Naypyidaw</v>
      </c>
      <c r="G61">
        <v>1875</v>
      </c>
      <c r="H61" t="str">
        <v>Member</v>
      </c>
      <c r="I61" t="str">
        <v>Female</v>
      </c>
      <c r="J61" t="str">
        <v>Electronics</v>
      </c>
      <c r="K61" s="1">
        <v>45324</v>
      </c>
      <c r="L61">
        <v>135.617302281398</v>
      </c>
      <c r="M61">
        <v>1</v>
      </c>
      <c r="N61">
        <v>135.617302281398</v>
      </c>
      <c r="O61">
        <v>40.685190684419403</v>
      </c>
      <c r="P61" t="str">
        <v>Cash</v>
      </c>
      <c r="Q61">
        <v>94.932111596978586</v>
      </c>
      <c r="R61">
        <v>0.3000000000000001</v>
      </c>
      <c r="S61">
        <v>135.617302281398</v>
      </c>
    </row>
    <row r="62" spans="4:19" x14ac:dyDescent="0.3">
      <c r="D62" t="str">
        <v>INV1376</v>
      </c>
      <c r="E62" t="str">
        <v>Branch B</v>
      </c>
      <c r="F62" t="str">
        <v>Naypyidaw</v>
      </c>
      <c r="G62">
        <v>1686</v>
      </c>
      <c r="H62" t="str">
        <v>Member</v>
      </c>
      <c r="I62" t="str">
        <v>Female</v>
      </c>
      <c r="J62" t="str">
        <v>Electronics</v>
      </c>
      <c r="K62" s="1">
        <v>45299</v>
      </c>
      <c r="L62">
        <v>138.71916464217699</v>
      </c>
      <c r="M62">
        <v>7</v>
      </c>
      <c r="N62">
        <v>971.03415249524096</v>
      </c>
      <c r="O62">
        <v>291.31024574857202</v>
      </c>
      <c r="P62" t="str">
        <v>Cash</v>
      </c>
      <c r="Q62">
        <v>679.72390674666894</v>
      </c>
      <c r="R62">
        <v>0.29999999999999971</v>
      </c>
      <c r="S62">
        <v>6797.2390674666867</v>
      </c>
    </row>
    <row r="63" spans="4:19" x14ac:dyDescent="0.3">
      <c r="D63" t="str">
        <v>INV1377</v>
      </c>
      <c r="E63" t="str">
        <v>Branch A</v>
      </c>
      <c r="F63" t="str">
        <v>Naypyidaw</v>
      </c>
      <c r="G63">
        <v>2313</v>
      </c>
      <c r="H63" t="str">
        <v>Member</v>
      </c>
      <c r="I63" t="str">
        <v>Male</v>
      </c>
      <c r="J63" t="str">
        <v>Electronics</v>
      </c>
      <c r="K63" s="1">
        <v>45309</v>
      </c>
      <c r="L63">
        <v>140.725122327045</v>
      </c>
      <c r="M63">
        <v>1</v>
      </c>
      <c r="N63">
        <v>140.725122327045</v>
      </c>
      <c r="O63">
        <v>42.217536698113598</v>
      </c>
      <c r="P63" t="str">
        <v>E-Wallet</v>
      </c>
      <c r="Q63">
        <v>98.507585628931395</v>
      </c>
      <c r="R63">
        <v>0.30000000000000077</v>
      </c>
      <c r="S63">
        <v>140.725122327045</v>
      </c>
    </row>
    <row r="64" spans="4:19" x14ac:dyDescent="0.3">
      <c r="D64" t="str">
        <v>INV1378</v>
      </c>
      <c r="E64" t="str">
        <v>Branch A</v>
      </c>
      <c r="F64" t="str">
        <v>Yangon</v>
      </c>
      <c r="G64">
        <v>1995</v>
      </c>
      <c r="H64" t="str">
        <v>Member</v>
      </c>
      <c r="I64" t="str">
        <v>Male</v>
      </c>
      <c r="J64" t="str">
        <v>Electronics</v>
      </c>
      <c r="K64" s="1">
        <v>45348</v>
      </c>
      <c r="L64">
        <v>287.96437234364402</v>
      </c>
      <c r="M64">
        <v>5</v>
      </c>
      <c r="N64">
        <v>1439.8218617182199</v>
      </c>
      <c r="O64">
        <v>431.94655851546599</v>
      </c>
      <c r="P64" t="str">
        <v>Cash</v>
      </c>
      <c r="Q64">
        <v>1007.8753032027539</v>
      </c>
      <c r="R64">
        <v>0.3</v>
      </c>
      <c r="S64">
        <v>7199.1093085910998</v>
      </c>
    </row>
    <row r="65" spans="4:19" x14ac:dyDescent="0.3">
      <c r="D65" t="str">
        <v>INV1386</v>
      </c>
      <c r="E65" t="str">
        <v>Branch B</v>
      </c>
      <c r="F65" t="str">
        <v>Mandalay</v>
      </c>
      <c r="G65">
        <v>1180</v>
      </c>
      <c r="H65" t="str">
        <v>Normal</v>
      </c>
      <c r="I65" t="str">
        <v>Male</v>
      </c>
      <c r="J65" t="str">
        <v>Electronics</v>
      </c>
      <c r="K65" s="1">
        <v>45294</v>
      </c>
      <c r="L65">
        <v>249.51613512164801</v>
      </c>
      <c r="M65">
        <v>7</v>
      </c>
      <c r="N65">
        <v>1746.61294585154</v>
      </c>
      <c r="O65">
        <v>523.98388375546199</v>
      </c>
      <c r="P65" t="str">
        <v>Credit Card</v>
      </c>
      <c r="Q65">
        <v>1222.6290620960781</v>
      </c>
      <c r="R65">
        <v>0.29999999999999993</v>
      </c>
      <c r="S65">
        <v>12226.290620960779</v>
      </c>
    </row>
    <row r="66" spans="4:19" x14ac:dyDescent="0.3">
      <c r="D66" t="str">
        <v>INV1387</v>
      </c>
      <c r="E66" t="str">
        <v>Branch C</v>
      </c>
      <c r="F66" t="str">
        <v>Yangon</v>
      </c>
      <c r="G66">
        <v>1498</v>
      </c>
      <c r="H66" t="str">
        <v>Member</v>
      </c>
      <c r="I66" t="str">
        <v>Male</v>
      </c>
      <c r="J66" t="str">
        <v>Electronics</v>
      </c>
      <c r="K66" s="1">
        <v>45381</v>
      </c>
      <c r="L66">
        <v>144.303267012878</v>
      </c>
      <c r="M66">
        <v>2</v>
      </c>
      <c r="N66">
        <v>288.60653402575599</v>
      </c>
      <c r="O66">
        <v>86.581960207726993</v>
      </c>
      <c r="P66" t="str">
        <v>Cash</v>
      </c>
      <c r="Q66">
        <v>202.02457381802901</v>
      </c>
      <c r="R66">
        <v>0.30000000000000066</v>
      </c>
      <c r="S66">
        <v>577.21306805151198</v>
      </c>
    </row>
    <row r="67" spans="4:19" x14ac:dyDescent="0.3">
      <c r="D67" t="str">
        <v>INV1389</v>
      </c>
      <c r="E67" t="str">
        <v>Branch A</v>
      </c>
      <c r="F67" t="str">
        <v>Yangon</v>
      </c>
      <c r="G67">
        <v>1082</v>
      </c>
      <c r="H67" t="str">
        <v>Normal</v>
      </c>
      <c r="I67" t="str">
        <v>Female</v>
      </c>
      <c r="J67" t="str">
        <v>Electronics</v>
      </c>
      <c r="K67" s="1">
        <v>45367</v>
      </c>
      <c r="L67">
        <v>199.86563185332599</v>
      </c>
      <c r="M67">
        <v>5</v>
      </c>
      <c r="N67">
        <v>999.32815926663295</v>
      </c>
      <c r="O67">
        <v>299.79844777999</v>
      </c>
      <c r="P67" t="str">
        <v>E-Wallet</v>
      </c>
      <c r="Q67">
        <v>699.52971148664301</v>
      </c>
      <c r="R67">
        <v>0.30000000000000004</v>
      </c>
      <c r="S67">
        <v>4996.6407963331649</v>
      </c>
    </row>
    <row r="68" spans="4:19" x14ac:dyDescent="0.3">
      <c r="D68" t="str">
        <v>INV1416</v>
      </c>
      <c r="E68" t="str">
        <v>Branch A</v>
      </c>
      <c r="F68" t="str">
        <v>Yangon</v>
      </c>
      <c r="G68">
        <v>1604</v>
      </c>
      <c r="H68" t="str">
        <v>Normal</v>
      </c>
      <c r="I68" t="str">
        <v>Male</v>
      </c>
      <c r="J68" t="str">
        <v>Electronics</v>
      </c>
      <c r="K68" s="1">
        <v>45332</v>
      </c>
      <c r="L68">
        <v>226.92137354770699</v>
      </c>
      <c r="M68">
        <v>7</v>
      </c>
      <c r="N68">
        <v>1588.4496148339399</v>
      </c>
      <c r="O68">
        <v>476.53488445018399</v>
      </c>
      <c r="P68" t="str">
        <v>Credit Card</v>
      </c>
      <c r="Q68">
        <v>1111.9147303837558</v>
      </c>
      <c r="R68">
        <v>0.30000000000000132</v>
      </c>
      <c r="S68">
        <v>11119.147303837579</v>
      </c>
    </row>
    <row r="69" spans="4:19" x14ac:dyDescent="0.3">
      <c r="D69" t="str">
        <v>INV1418</v>
      </c>
      <c r="E69" t="str">
        <v>Branch B</v>
      </c>
      <c r="F69" t="str">
        <v>Naypyidaw</v>
      </c>
      <c r="G69">
        <v>1326</v>
      </c>
      <c r="H69" t="str">
        <v>Member</v>
      </c>
      <c r="I69" t="str">
        <v>Male</v>
      </c>
      <c r="J69" t="str">
        <v>Electronics</v>
      </c>
      <c r="K69" s="1">
        <v>45341</v>
      </c>
      <c r="L69">
        <v>214.982978176356</v>
      </c>
      <c r="M69">
        <v>3</v>
      </c>
      <c r="N69">
        <v>644.94893452907002</v>
      </c>
      <c r="O69">
        <v>193.48468035872099</v>
      </c>
      <c r="P69" t="str">
        <v>Credit Card</v>
      </c>
      <c r="Q69">
        <v>451.46425417034902</v>
      </c>
      <c r="R69">
        <v>0.3</v>
      </c>
      <c r="S69">
        <v>1934.8468035872102</v>
      </c>
    </row>
    <row r="70" spans="4:19" x14ac:dyDescent="0.3">
      <c r="D70" t="str">
        <v>INV1419</v>
      </c>
      <c r="E70" t="str">
        <v>Branch C</v>
      </c>
      <c r="F70" t="str">
        <v>Mandalay</v>
      </c>
      <c r="G70">
        <v>1224</v>
      </c>
      <c r="H70" t="str">
        <v>Member</v>
      </c>
      <c r="I70" t="str">
        <v>Male</v>
      </c>
      <c r="J70" t="str">
        <v>Electronics</v>
      </c>
      <c r="K70" s="1">
        <v>45306</v>
      </c>
      <c r="L70">
        <v>290.50644038264602</v>
      </c>
      <c r="M70">
        <v>3</v>
      </c>
      <c r="N70">
        <v>871.51932114793794</v>
      </c>
      <c r="O70">
        <v>261.45579634438099</v>
      </c>
      <c r="P70" t="str">
        <v>Cash</v>
      </c>
      <c r="Q70">
        <v>610.0635248035569</v>
      </c>
      <c r="R70">
        <v>0.2999999999999996</v>
      </c>
      <c r="S70">
        <v>2614.5579634438136</v>
      </c>
    </row>
    <row r="71" spans="4:19" x14ac:dyDescent="0.3">
      <c r="D71" t="str">
        <v>INV1420</v>
      </c>
      <c r="E71" t="str">
        <v>Branch B</v>
      </c>
      <c r="F71" t="str">
        <v>Yangon</v>
      </c>
      <c r="G71">
        <v>1966</v>
      </c>
      <c r="H71" t="str">
        <v>Normal</v>
      </c>
      <c r="I71" t="str">
        <v>Female</v>
      </c>
      <c r="J71" t="str">
        <v>Electronics</v>
      </c>
      <c r="K71" s="1">
        <v>45298</v>
      </c>
      <c r="L71">
        <v>249.72909666358501</v>
      </c>
      <c r="M71">
        <v>6</v>
      </c>
      <c r="N71">
        <v>1498.3745799815099</v>
      </c>
      <c r="O71">
        <v>449.51237399445398</v>
      </c>
      <c r="P71" t="str">
        <v>Credit Card</v>
      </c>
      <c r="Q71">
        <v>1048.8622059870559</v>
      </c>
      <c r="R71">
        <v>0.30000000000000071</v>
      </c>
      <c r="S71">
        <v>8990.2474798890598</v>
      </c>
    </row>
    <row r="72" spans="4:19" x14ac:dyDescent="0.3">
      <c r="D72" t="str">
        <v>INV1427</v>
      </c>
      <c r="E72" t="str">
        <v>Branch B</v>
      </c>
      <c r="F72" t="str">
        <v>Naypyidaw</v>
      </c>
      <c r="G72">
        <v>2475</v>
      </c>
      <c r="H72" t="str">
        <v>Normal</v>
      </c>
      <c r="I72" t="str">
        <v>Male</v>
      </c>
      <c r="J72" t="str">
        <v>Electronics</v>
      </c>
      <c r="K72" s="1">
        <v>45356</v>
      </c>
      <c r="L72">
        <v>175.63706660048399</v>
      </c>
      <c r="M72">
        <v>4</v>
      </c>
      <c r="N72">
        <v>702.54826640193801</v>
      </c>
      <c r="O72">
        <v>210.76447992058101</v>
      </c>
      <c r="P72" t="str">
        <v>Credit Card</v>
      </c>
      <c r="Q72">
        <v>491.78378648135697</v>
      </c>
      <c r="R72">
        <v>0.29999999999999949</v>
      </c>
      <c r="S72">
        <v>2810.193065607752</v>
      </c>
    </row>
    <row r="73" spans="4:19" x14ac:dyDescent="0.3">
      <c r="D73" t="str">
        <v>INV1429</v>
      </c>
      <c r="E73" t="str">
        <v>Branch B</v>
      </c>
      <c r="F73" t="str">
        <v>Naypyidaw</v>
      </c>
      <c r="G73">
        <v>1440</v>
      </c>
      <c r="H73" t="str">
        <v>Member</v>
      </c>
      <c r="I73" t="str">
        <v>Male</v>
      </c>
      <c r="J73" t="str">
        <v>Electronics</v>
      </c>
      <c r="K73" s="1">
        <v>45302</v>
      </c>
      <c r="L73">
        <v>102.25028960200601</v>
      </c>
      <c r="M73">
        <v>3</v>
      </c>
      <c r="N73">
        <v>306.75086880601998</v>
      </c>
      <c r="O73">
        <v>92.025260641806199</v>
      </c>
      <c r="P73" t="str">
        <v>Credit Card</v>
      </c>
      <c r="Q73">
        <v>214.72560816421378</v>
      </c>
      <c r="R73">
        <v>0.30000000000000066</v>
      </c>
      <c r="S73">
        <v>920.25260641805994</v>
      </c>
    </row>
    <row r="74" spans="4:19" x14ac:dyDescent="0.3">
      <c r="D74" t="str">
        <v>INV1433</v>
      </c>
      <c r="E74" t="str">
        <v>Branch A</v>
      </c>
      <c r="F74" t="str">
        <v>Mandalay</v>
      </c>
      <c r="G74">
        <v>1343</v>
      </c>
      <c r="H74" t="str">
        <v>Member</v>
      </c>
      <c r="I74" t="str">
        <v>Female</v>
      </c>
      <c r="J74" t="str">
        <v>Electronics</v>
      </c>
      <c r="K74" s="1">
        <v>45314</v>
      </c>
      <c r="L74">
        <v>127.74342249477201</v>
      </c>
      <c r="M74">
        <v>7</v>
      </c>
      <c r="N74">
        <v>894.20395746340398</v>
      </c>
      <c r="O74">
        <v>268.26118723902101</v>
      </c>
      <c r="P74" t="str">
        <v>Credit Card</v>
      </c>
      <c r="Q74">
        <v>625.94277022438291</v>
      </c>
      <c r="R74">
        <v>0.29999999999999988</v>
      </c>
      <c r="S74">
        <v>6259.4277022438282</v>
      </c>
    </row>
    <row r="75" spans="4:19" x14ac:dyDescent="0.3">
      <c r="D75" t="str">
        <v>INV1437</v>
      </c>
      <c r="E75" t="str">
        <v>Branch C</v>
      </c>
      <c r="F75" t="str">
        <v>Naypyidaw</v>
      </c>
      <c r="G75">
        <v>2313</v>
      </c>
      <c r="H75" t="str">
        <v>Member</v>
      </c>
      <c r="I75" t="str">
        <v>Female</v>
      </c>
      <c r="J75" t="str">
        <v>Electronics</v>
      </c>
      <c r="K75" s="1">
        <v>45314</v>
      </c>
      <c r="L75">
        <v>14.5654447687463</v>
      </c>
      <c r="M75">
        <v>9</v>
      </c>
      <c r="N75">
        <v>131.08900291871601</v>
      </c>
      <c r="O75">
        <v>39.326700875615003</v>
      </c>
      <c r="P75" t="str">
        <v>Cash</v>
      </c>
      <c r="Q75">
        <v>91.762302043101002</v>
      </c>
      <c r="R75">
        <v>0.30000000000000154</v>
      </c>
      <c r="S75">
        <v>1179.801026268444</v>
      </c>
    </row>
    <row r="76" spans="4:19" x14ac:dyDescent="0.3">
      <c r="D76" t="str">
        <v>INV1438</v>
      </c>
      <c r="E76" t="str">
        <v>Branch A</v>
      </c>
      <c r="F76" t="str">
        <v>Yangon</v>
      </c>
      <c r="G76">
        <v>2478</v>
      </c>
      <c r="H76" t="str">
        <v>Normal</v>
      </c>
      <c r="I76" t="str">
        <v>Male</v>
      </c>
      <c r="J76" t="str">
        <v>Electronics</v>
      </c>
      <c r="K76" s="1">
        <v>45307</v>
      </c>
      <c r="L76">
        <v>14.9734367554074</v>
      </c>
      <c r="M76">
        <v>7</v>
      </c>
      <c r="N76">
        <v>104.81405728785199</v>
      </c>
      <c r="O76">
        <v>31.444217186355601</v>
      </c>
      <c r="P76" t="str">
        <v>Credit Card</v>
      </c>
      <c r="Q76">
        <v>73.369840101496393</v>
      </c>
      <c r="R76">
        <v>0.30000000000000004</v>
      </c>
      <c r="S76">
        <v>733.69840101496402</v>
      </c>
    </row>
    <row r="77" spans="4:19" x14ac:dyDescent="0.3">
      <c r="D77" t="str">
        <v>INV1441</v>
      </c>
      <c r="E77" t="str">
        <v>Branch B</v>
      </c>
      <c r="F77" t="str">
        <v>Naypyidaw</v>
      </c>
      <c r="G77">
        <v>1908</v>
      </c>
      <c r="H77" t="str">
        <v>Normal</v>
      </c>
      <c r="I77" t="str">
        <v>Female</v>
      </c>
      <c r="J77" t="str">
        <v>Electronics</v>
      </c>
      <c r="K77" s="1">
        <v>45371</v>
      </c>
      <c r="L77">
        <v>99.597237119764202</v>
      </c>
      <c r="M77">
        <v>2</v>
      </c>
      <c r="N77">
        <v>199.19447423952801</v>
      </c>
      <c r="O77">
        <v>59.758342271858503</v>
      </c>
      <c r="P77" t="str">
        <v>E-Wallet</v>
      </c>
      <c r="Q77">
        <v>139.4361319676695</v>
      </c>
      <c r="R77">
        <v>0.30000000000000054</v>
      </c>
      <c r="S77">
        <v>398.38894847905601</v>
      </c>
    </row>
    <row r="78" spans="4:19" x14ac:dyDescent="0.3">
      <c r="D78" t="str">
        <v>INV1451</v>
      </c>
      <c r="E78" t="str">
        <v>Branch A</v>
      </c>
      <c r="F78" t="str">
        <v>Yangon</v>
      </c>
      <c r="G78">
        <v>2446</v>
      </c>
      <c r="H78" t="str">
        <v>Member</v>
      </c>
      <c r="I78" t="str">
        <v>Female</v>
      </c>
      <c r="J78" t="str">
        <v>Electronics</v>
      </c>
      <c r="K78" s="1">
        <v>45345</v>
      </c>
      <c r="L78">
        <v>222.571049692222</v>
      </c>
      <c r="M78">
        <v>9</v>
      </c>
      <c r="N78">
        <v>2003.1394472300001</v>
      </c>
      <c r="O78">
        <v>600.941834169</v>
      </c>
      <c r="P78" t="str">
        <v>E-Wallet</v>
      </c>
      <c r="Q78">
        <v>1402.1976130610001</v>
      </c>
      <c r="R78">
        <v>0.3</v>
      </c>
      <c r="S78">
        <v>18028.255025070001</v>
      </c>
    </row>
    <row r="79" spans="4:19" x14ac:dyDescent="0.3">
      <c r="D79" t="str">
        <v>INV1456</v>
      </c>
      <c r="E79" t="str">
        <v>Branch C</v>
      </c>
      <c r="F79" t="str">
        <v>Mandalay</v>
      </c>
      <c r="G79">
        <v>2100</v>
      </c>
      <c r="H79" t="str">
        <v>Normal</v>
      </c>
      <c r="I79" t="str">
        <v>Male</v>
      </c>
      <c r="J79" t="str">
        <v>Electronics</v>
      </c>
      <c r="K79" s="1">
        <v>45368</v>
      </c>
      <c r="L79">
        <v>261.83912850299998</v>
      </c>
      <c r="M79">
        <v>4</v>
      </c>
      <c r="N79">
        <v>1047.3565140119999</v>
      </c>
      <c r="O79">
        <v>314.20695420359999</v>
      </c>
      <c r="P79" t="str">
        <v>Credit Card</v>
      </c>
      <c r="Q79">
        <v>733.1495598084</v>
      </c>
      <c r="R79">
        <v>0.29999999999999993</v>
      </c>
      <c r="S79">
        <v>4189.4260560479997</v>
      </c>
    </row>
    <row r="80" spans="4:19" x14ac:dyDescent="0.3">
      <c r="D80" t="str">
        <v>INV1460</v>
      </c>
      <c r="E80" t="str">
        <v>Branch A</v>
      </c>
      <c r="F80" t="str">
        <v>Mandalay</v>
      </c>
      <c r="G80">
        <v>1714</v>
      </c>
      <c r="H80" t="str">
        <v>Member</v>
      </c>
      <c r="I80" t="str">
        <v>Female</v>
      </c>
      <c r="J80" t="str">
        <v>Electronics</v>
      </c>
      <c r="K80" s="1">
        <v>45333</v>
      </c>
      <c r="L80">
        <v>193.59106951485799</v>
      </c>
      <c r="M80">
        <v>5</v>
      </c>
      <c r="N80">
        <v>967.955347574293</v>
      </c>
      <c r="O80">
        <v>290.38660427228803</v>
      </c>
      <c r="P80" t="str">
        <v>Cash</v>
      </c>
      <c r="Q80">
        <v>677.56874330200503</v>
      </c>
      <c r="R80">
        <v>0.30000000000000004</v>
      </c>
      <c r="S80">
        <v>4839.7767378714652</v>
      </c>
    </row>
    <row r="81" spans="4:19" x14ac:dyDescent="0.3">
      <c r="D81" t="str">
        <v>INV1463</v>
      </c>
      <c r="E81" t="str">
        <v>Branch A</v>
      </c>
      <c r="F81" t="str">
        <v>Naypyidaw</v>
      </c>
      <c r="G81">
        <v>1614</v>
      </c>
      <c r="H81" t="str">
        <v>Member</v>
      </c>
      <c r="I81" t="str">
        <v>Female</v>
      </c>
      <c r="J81" t="str">
        <v>Electronics</v>
      </c>
      <c r="K81" s="1">
        <v>45344</v>
      </c>
      <c r="L81">
        <v>153.302824484985</v>
      </c>
      <c r="M81">
        <v>2</v>
      </c>
      <c r="N81">
        <v>306.60564896997101</v>
      </c>
      <c r="O81">
        <v>91.981694690991503</v>
      </c>
      <c r="P81" t="str">
        <v>Cash</v>
      </c>
      <c r="Q81">
        <v>214.62395427897951</v>
      </c>
      <c r="R81">
        <v>0.30000000000000066</v>
      </c>
      <c r="S81">
        <v>613.21129793994203</v>
      </c>
    </row>
    <row r="82" spans="4:19" x14ac:dyDescent="0.3">
      <c r="D82" t="str">
        <v>INV1470</v>
      </c>
      <c r="E82" t="str">
        <v>Branch C</v>
      </c>
      <c r="F82" t="str">
        <v>Mandalay</v>
      </c>
      <c r="G82">
        <v>1164</v>
      </c>
      <c r="H82" t="str">
        <v>Normal</v>
      </c>
      <c r="I82" t="str">
        <v>Female</v>
      </c>
      <c r="J82" t="str">
        <v>Electronics</v>
      </c>
      <c r="K82" s="1">
        <v>45334</v>
      </c>
      <c r="L82">
        <v>115.10508355859</v>
      </c>
      <c r="M82">
        <v>1</v>
      </c>
      <c r="N82">
        <v>115.10508355859</v>
      </c>
      <c r="O82">
        <v>34.5315250675771</v>
      </c>
      <c r="P82" t="str">
        <v>Cash</v>
      </c>
      <c r="Q82">
        <v>80.573558491012903</v>
      </c>
      <c r="R82">
        <v>0.30000000000000082</v>
      </c>
      <c r="S82">
        <v>115.10508355859</v>
      </c>
    </row>
    <row r="83" spans="4:19" x14ac:dyDescent="0.3">
      <c r="D83" t="str">
        <v>INV1473</v>
      </c>
      <c r="E83" t="str">
        <v>Branch C</v>
      </c>
      <c r="F83" t="str">
        <v>Mandalay</v>
      </c>
      <c r="G83">
        <v>2176</v>
      </c>
      <c r="H83" t="str">
        <v>Member</v>
      </c>
      <c r="I83" t="str">
        <v>Male</v>
      </c>
      <c r="J83" t="str">
        <v>Electronics</v>
      </c>
      <c r="K83" s="1">
        <v>45306</v>
      </c>
      <c r="L83">
        <v>278.26368084947399</v>
      </c>
      <c r="M83">
        <v>2</v>
      </c>
      <c r="N83">
        <v>556.52736169894797</v>
      </c>
      <c r="O83">
        <v>166.958208509684</v>
      </c>
      <c r="P83" t="str">
        <v>Cash</v>
      </c>
      <c r="Q83">
        <v>389.56915318926394</v>
      </c>
      <c r="R83">
        <v>0.29999999999999932</v>
      </c>
      <c r="S83">
        <v>1113.0547233978959</v>
      </c>
    </row>
    <row r="84" spans="4:19" x14ac:dyDescent="0.3">
      <c r="D84" t="str">
        <v>INV1475</v>
      </c>
      <c r="E84" t="str">
        <v>Branch B</v>
      </c>
      <c r="F84" t="str">
        <v>Mandalay</v>
      </c>
      <c r="G84">
        <v>1192</v>
      </c>
      <c r="H84" t="str">
        <v>Member</v>
      </c>
      <c r="I84" t="str">
        <v>Female</v>
      </c>
      <c r="J84" t="str">
        <v>Electronics</v>
      </c>
      <c r="K84" s="1">
        <v>45374</v>
      </c>
      <c r="L84">
        <v>25.773317071470199</v>
      </c>
      <c r="M84">
        <v>8</v>
      </c>
      <c r="N84">
        <v>206.186536571761</v>
      </c>
      <c r="O84">
        <v>61.855960971528503</v>
      </c>
      <c r="P84" t="str">
        <v>Credit Card</v>
      </c>
      <c r="Q84">
        <v>144.33057560023249</v>
      </c>
      <c r="R84">
        <v>0.30000000000000099</v>
      </c>
      <c r="S84">
        <v>1649.492292574088</v>
      </c>
    </row>
    <row r="85" spans="4:19" x14ac:dyDescent="0.3">
      <c r="D85" t="str">
        <v>INV1477</v>
      </c>
      <c r="E85" t="str">
        <v>Branch A</v>
      </c>
      <c r="F85" t="str">
        <v>Yangon</v>
      </c>
      <c r="G85">
        <v>1529</v>
      </c>
      <c r="H85" t="str">
        <v>Normal</v>
      </c>
      <c r="I85" t="str">
        <v>Male</v>
      </c>
      <c r="J85" t="str">
        <v>Electronics</v>
      </c>
      <c r="K85" s="1">
        <v>45342</v>
      </c>
      <c r="L85">
        <v>292.53181970197897</v>
      </c>
      <c r="M85">
        <v>8</v>
      </c>
      <c r="N85">
        <v>2340.25455761583</v>
      </c>
      <c r="O85">
        <v>702.07636728474995</v>
      </c>
      <c r="P85" t="str">
        <v>Credit Card</v>
      </c>
      <c r="Q85">
        <v>1638.17819033108</v>
      </c>
      <c r="R85">
        <v>0.30000000000000043</v>
      </c>
      <c r="S85">
        <v>18722.03646092664</v>
      </c>
    </row>
    <row r="86" spans="4:19" x14ac:dyDescent="0.3">
      <c r="D86" t="str">
        <v>INV1485</v>
      </c>
      <c r="E86" t="str">
        <v>Branch A</v>
      </c>
      <c r="F86" t="str">
        <v>Yangon</v>
      </c>
      <c r="G86">
        <v>1339</v>
      </c>
      <c r="H86" t="str">
        <v>Member</v>
      </c>
      <c r="I86" t="str">
        <v>Female</v>
      </c>
      <c r="J86" t="str">
        <v>Electronics</v>
      </c>
      <c r="K86" s="1">
        <v>45378</v>
      </c>
      <c r="L86">
        <v>178.12058555819499</v>
      </c>
      <c r="M86">
        <v>2</v>
      </c>
      <c r="N86">
        <v>356.24117111638998</v>
      </c>
      <c r="O86">
        <v>106.872351334917</v>
      </c>
      <c r="P86" t="str">
        <v>Credit Card</v>
      </c>
      <c r="Q86">
        <v>249.36881978147298</v>
      </c>
      <c r="R86">
        <v>0.3</v>
      </c>
      <c r="S86">
        <v>712.48234223277996</v>
      </c>
    </row>
    <row r="87" spans="4:19" x14ac:dyDescent="0.3">
      <c r="D87" t="str">
        <v>INV1489</v>
      </c>
      <c r="E87" t="str">
        <v>Branch C</v>
      </c>
      <c r="F87" t="str">
        <v>Yangon</v>
      </c>
      <c r="G87">
        <v>1798</v>
      </c>
      <c r="H87" t="str">
        <v>Normal</v>
      </c>
      <c r="I87" t="str">
        <v>Female</v>
      </c>
      <c r="J87" t="str">
        <v>Electronics</v>
      </c>
      <c r="K87" s="1">
        <v>45300</v>
      </c>
      <c r="L87">
        <v>208.764649599341</v>
      </c>
      <c r="M87">
        <v>9</v>
      </c>
      <c r="N87">
        <v>1878.88184639407</v>
      </c>
      <c r="O87">
        <v>563.66455391822205</v>
      </c>
      <c r="P87" t="str">
        <v>Credit Card</v>
      </c>
      <c r="Q87">
        <v>1315.2172924758479</v>
      </c>
      <c r="R87">
        <v>0.30000000000000054</v>
      </c>
      <c r="S87">
        <v>16909.936617546631</v>
      </c>
    </row>
    <row r="88" spans="4:19" x14ac:dyDescent="0.3">
      <c r="D88" t="str">
        <v>INV1495</v>
      </c>
      <c r="E88" t="str">
        <v>Branch B</v>
      </c>
      <c r="F88" t="str">
        <v>Mandalay</v>
      </c>
      <c r="G88">
        <v>1996</v>
      </c>
      <c r="H88" t="str">
        <v>Member</v>
      </c>
      <c r="I88" t="str">
        <v>Male</v>
      </c>
      <c r="J88" t="str">
        <v>Electronics</v>
      </c>
      <c r="K88" s="1">
        <v>45354</v>
      </c>
      <c r="L88">
        <v>273.96178011164898</v>
      </c>
      <c r="M88">
        <v>6</v>
      </c>
      <c r="N88">
        <v>1643.77068066989</v>
      </c>
      <c r="O88">
        <v>493.131204200968</v>
      </c>
      <c r="P88" t="str">
        <v>Cash</v>
      </c>
      <c r="Q88">
        <v>1150.6394764689221</v>
      </c>
      <c r="R88">
        <v>0.30000000000000054</v>
      </c>
      <c r="S88">
        <v>9862.6240840193404</v>
      </c>
    </row>
    <row r="89" spans="4:19" x14ac:dyDescent="0.3">
      <c r="D89" t="str">
        <v>INV1497</v>
      </c>
      <c r="E89" t="str">
        <v>Branch B</v>
      </c>
      <c r="F89" t="str">
        <v>Naypyidaw</v>
      </c>
      <c r="G89">
        <v>1820</v>
      </c>
      <c r="H89" t="str">
        <v>Normal</v>
      </c>
      <c r="I89" t="str">
        <v>Female</v>
      </c>
      <c r="J89" t="str">
        <v>Electronics</v>
      </c>
      <c r="K89" s="1">
        <v>45295</v>
      </c>
      <c r="L89">
        <v>286.52517837693699</v>
      </c>
      <c r="M89">
        <v>9</v>
      </c>
      <c r="N89">
        <v>2578.72660539243</v>
      </c>
      <c r="O89">
        <v>773.61798161773095</v>
      </c>
      <c r="P89" t="str">
        <v>Credit Card</v>
      </c>
      <c r="Q89">
        <v>1805.108623774699</v>
      </c>
      <c r="R89">
        <v>0.30000000000000077</v>
      </c>
      <c r="S89">
        <v>23208.539448531868</v>
      </c>
    </row>
    <row r="90" spans="4:19" x14ac:dyDescent="0.3">
      <c r="D90" t="str">
        <v>INV1504</v>
      </c>
      <c r="E90" t="str">
        <v>Branch B</v>
      </c>
      <c r="F90" t="str">
        <v>Yangon</v>
      </c>
      <c r="G90">
        <v>1716</v>
      </c>
      <c r="H90" t="str">
        <v>Normal</v>
      </c>
      <c r="I90" t="str">
        <v>Male</v>
      </c>
      <c r="J90" t="str">
        <v>Electronics</v>
      </c>
      <c r="K90" s="1">
        <v>45371</v>
      </c>
      <c r="L90">
        <v>37.523447967530402</v>
      </c>
      <c r="M90">
        <v>6</v>
      </c>
      <c r="N90">
        <v>225.14068780518201</v>
      </c>
      <c r="O90">
        <v>67.542206341554703</v>
      </c>
      <c r="P90" t="str">
        <v>Credit Card</v>
      </c>
      <c r="Q90">
        <v>157.59848146362731</v>
      </c>
      <c r="R90">
        <v>0.30000000000000043</v>
      </c>
      <c r="S90">
        <v>1350.8441268310921</v>
      </c>
    </row>
    <row r="91" spans="4:19" x14ac:dyDescent="0.3">
      <c r="D91" t="str">
        <v>INV1505</v>
      </c>
      <c r="E91" t="str">
        <v>Branch A</v>
      </c>
      <c r="F91" t="str">
        <v>Yangon</v>
      </c>
      <c r="G91">
        <v>2141</v>
      </c>
      <c r="H91" t="str">
        <v>Member</v>
      </c>
      <c r="I91" t="str">
        <v>Male</v>
      </c>
      <c r="J91" t="str">
        <v>Electronics</v>
      </c>
      <c r="K91" s="1">
        <v>45367</v>
      </c>
      <c r="L91">
        <v>182.28400636521599</v>
      </c>
      <c r="M91">
        <v>3</v>
      </c>
      <c r="N91">
        <v>546.85201909564898</v>
      </c>
      <c r="O91">
        <v>164.05560572869399</v>
      </c>
      <c r="P91" t="str">
        <v>E-Wallet</v>
      </c>
      <c r="Q91">
        <v>382.79641336695499</v>
      </c>
      <c r="R91">
        <v>0.29999999999999871</v>
      </c>
      <c r="S91">
        <v>1640.556057286947</v>
      </c>
    </row>
    <row r="92" spans="4:19" x14ac:dyDescent="0.3">
      <c r="D92" t="str">
        <v>INV1510</v>
      </c>
      <c r="E92" t="str">
        <v>Branch A</v>
      </c>
      <c r="F92" t="str">
        <v>Mandalay</v>
      </c>
      <c r="G92">
        <v>1269</v>
      </c>
      <c r="H92" t="str">
        <v>Normal</v>
      </c>
      <c r="I92" t="str">
        <v>Female</v>
      </c>
      <c r="J92" t="str">
        <v>Electronics</v>
      </c>
      <c r="K92" s="1">
        <v>45308</v>
      </c>
      <c r="L92">
        <v>188.73120274753899</v>
      </c>
      <c r="M92">
        <v>4</v>
      </c>
      <c r="N92">
        <v>754.92481099015902</v>
      </c>
      <c r="O92">
        <v>226.47744329704699</v>
      </c>
      <c r="P92" t="str">
        <v>Credit Card</v>
      </c>
      <c r="Q92">
        <v>528.44736769311203</v>
      </c>
      <c r="R92">
        <v>0.29999999999999905</v>
      </c>
      <c r="S92">
        <v>3019.6992439606361</v>
      </c>
    </row>
    <row r="93" spans="4:19" x14ac:dyDescent="0.3">
      <c r="D93" t="str">
        <v>INV1516</v>
      </c>
      <c r="E93" t="str">
        <v>Branch A</v>
      </c>
      <c r="F93" t="str">
        <v>Mandalay</v>
      </c>
      <c r="G93">
        <v>2167</v>
      </c>
      <c r="H93" t="str">
        <v>Member</v>
      </c>
      <c r="I93" t="str">
        <v>Female</v>
      </c>
      <c r="J93" t="str">
        <v>Electronics</v>
      </c>
      <c r="K93" s="1">
        <v>45381</v>
      </c>
      <c r="L93">
        <v>208.20159544817699</v>
      </c>
      <c r="M93">
        <v>8</v>
      </c>
      <c r="N93">
        <v>1665.61276358542</v>
      </c>
      <c r="O93">
        <v>499.68382907562602</v>
      </c>
      <c r="P93" t="str">
        <v>Credit Card</v>
      </c>
      <c r="Q93">
        <v>1165.9289345097941</v>
      </c>
      <c r="R93">
        <v>0.29999999999999993</v>
      </c>
      <c r="S93">
        <v>13324.90210868336</v>
      </c>
    </row>
    <row r="94" spans="4:19" x14ac:dyDescent="0.3">
      <c r="D94" t="str">
        <v>INV1528</v>
      </c>
      <c r="E94" t="str">
        <v>Branch B</v>
      </c>
      <c r="F94" t="str">
        <v>Naypyidaw</v>
      </c>
      <c r="G94">
        <v>1597</v>
      </c>
      <c r="H94" t="str">
        <v>Normal</v>
      </c>
      <c r="I94" t="str">
        <v>Male</v>
      </c>
      <c r="J94" t="str">
        <v>Electronics</v>
      </c>
      <c r="K94" s="1">
        <v>45378</v>
      </c>
      <c r="L94">
        <v>47.1017081084171</v>
      </c>
      <c r="M94">
        <v>5</v>
      </c>
      <c r="N94">
        <v>235.508540542085</v>
      </c>
      <c r="O94">
        <v>70.6525621626256</v>
      </c>
      <c r="P94" t="str">
        <v>Cash</v>
      </c>
      <c r="Q94">
        <v>164.8559783794594</v>
      </c>
      <c r="R94">
        <v>0.30000000000000043</v>
      </c>
      <c r="S94">
        <v>1177.5427027104249</v>
      </c>
    </row>
    <row r="95" spans="4:19" x14ac:dyDescent="0.3">
      <c r="D95" t="str">
        <v>INV1535</v>
      </c>
      <c r="E95" t="str">
        <v>Branch A</v>
      </c>
      <c r="F95" t="str">
        <v>Yangon</v>
      </c>
      <c r="G95">
        <v>1729</v>
      </c>
      <c r="H95" t="str">
        <v>Normal</v>
      </c>
      <c r="I95" t="str">
        <v>Male</v>
      </c>
      <c r="J95" t="str">
        <v>Electronics</v>
      </c>
      <c r="K95" s="1">
        <v>45342</v>
      </c>
      <c r="L95">
        <v>170.044369562143</v>
      </c>
      <c r="M95">
        <v>7</v>
      </c>
      <c r="N95">
        <v>1190.3105869349999</v>
      </c>
      <c r="O95">
        <v>357.09317608050202</v>
      </c>
      <c r="P95" t="str">
        <v>Cash</v>
      </c>
      <c r="Q95">
        <v>833.21741085449798</v>
      </c>
      <c r="R95">
        <v>0.30000000000000165</v>
      </c>
      <c r="S95">
        <v>8332.1741085449994</v>
      </c>
    </row>
    <row r="96" spans="4:19" x14ac:dyDescent="0.3">
      <c r="D96" t="str">
        <v>INV1536</v>
      </c>
      <c r="E96" t="str">
        <v>Branch B</v>
      </c>
      <c r="F96" t="str">
        <v>Naypyidaw</v>
      </c>
      <c r="G96">
        <v>1588</v>
      </c>
      <c r="H96" t="str">
        <v>Normal</v>
      </c>
      <c r="I96" t="str">
        <v>Female</v>
      </c>
      <c r="J96" t="str">
        <v>Electronics</v>
      </c>
      <c r="K96" s="1">
        <v>45334</v>
      </c>
      <c r="L96">
        <v>238.928732354939</v>
      </c>
      <c r="M96">
        <v>7</v>
      </c>
      <c r="N96">
        <v>1672.50112648457</v>
      </c>
      <c r="O96">
        <v>501.75033794537302</v>
      </c>
      <c r="P96" t="str">
        <v>E-Wallet</v>
      </c>
      <c r="Q96">
        <v>1170.7507885391969</v>
      </c>
      <c r="R96">
        <v>0.30000000000000121</v>
      </c>
      <c r="S96">
        <v>11707.507885391989</v>
      </c>
    </row>
    <row r="97" spans="4:19" x14ac:dyDescent="0.3">
      <c r="D97" t="str">
        <v>INV1550</v>
      </c>
      <c r="E97" t="str">
        <v>Branch C</v>
      </c>
      <c r="F97" t="str">
        <v>Mandalay</v>
      </c>
      <c r="G97">
        <v>1476</v>
      </c>
      <c r="H97" t="str">
        <v>Member</v>
      </c>
      <c r="I97" t="str">
        <v>Male</v>
      </c>
      <c r="J97" t="str">
        <v>Electronics</v>
      </c>
      <c r="K97" s="1">
        <v>45327</v>
      </c>
      <c r="L97">
        <v>70.109163929623605</v>
      </c>
      <c r="M97">
        <v>2</v>
      </c>
      <c r="N97">
        <v>140.21832785924701</v>
      </c>
      <c r="O97">
        <v>42.065498357774104</v>
      </c>
      <c r="P97" t="str">
        <v>Credit Card</v>
      </c>
      <c r="Q97">
        <v>98.152829501472908</v>
      </c>
      <c r="R97">
        <v>0.3</v>
      </c>
      <c r="S97">
        <v>280.43665571849402</v>
      </c>
    </row>
    <row r="98" spans="4:19" x14ac:dyDescent="0.3">
      <c r="D98" t="str">
        <v>INV1555</v>
      </c>
      <c r="E98" t="str">
        <v>Branch A</v>
      </c>
      <c r="F98" t="str">
        <v>Mandalay</v>
      </c>
      <c r="G98">
        <v>2364</v>
      </c>
      <c r="H98" t="str">
        <v>Member</v>
      </c>
      <c r="I98" t="str">
        <v>Female</v>
      </c>
      <c r="J98" t="str">
        <v>Electronics</v>
      </c>
      <c r="K98" s="1">
        <v>45367</v>
      </c>
      <c r="L98">
        <v>116.02275329115</v>
      </c>
      <c r="M98">
        <v>9</v>
      </c>
      <c r="N98">
        <v>1044.2047796203501</v>
      </c>
      <c r="O98">
        <v>313.26143388610598</v>
      </c>
      <c r="P98" t="str">
        <v>Credit Card</v>
      </c>
      <c r="Q98">
        <v>730.94334573424408</v>
      </c>
      <c r="R98">
        <v>0.30000000000000093</v>
      </c>
      <c r="S98">
        <v>9397.8430165831505</v>
      </c>
    </row>
    <row r="99" spans="4:19" x14ac:dyDescent="0.3">
      <c r="D99" t="str">
        <v>INV1558</v>
      </c>
      <c r="E99" t="str">
        <v>Branch A</v>
      </c>
      <c r="F99" t="str">
        <v>Yangon</v>
      </c>
      <c r="G99">
        <v>1202</v>
      </c>
      <c r="H99" t="str">
        <v>Member</v>
      </c>
      <c r="I99" t="str">
        <v>Female</v>
      </c>
      <c r="J99" t="str">
        <v>Electronics</v>
      </c>
      <c r="K99" s="1">
        <v>45347</v>
      </c>
      <c r="L99">
        <v>292.85825037246201</v>
      </c>
      <c r="M99">
        <v>1</v>
      </c>
      <c r="N99">
        <v>292.85825037246201</v>
      </c>
      <c r="O99">
        <v>87.857475111738594</v>
      </c>
      <c r="P99" t="str">
        <v>Cash</v>
      </c>
      <c r="Q99">
        <v>205.0007752607234</v>
      </c>
      <c r="R99">
        <v>0.30000000000000004</v>
      </c>
      <c r="S99">
        <v>292.85825037246201</v>
      </c>
    </row>
    <row r="100" spans="4:19" x14ac:dyDescent="0.3">
      <c r="D100" t="str">
        <v>INV1564</v>
      </c>
      <c r="E100" t="str">
        <v>Branch C</v>
      </c>
      <c r="F100" t="str">
        <v>Mandalay</v>
      </c>
      <c r="G100">
        <v>1453</v>
      </c>
      <c r="H100" t="str">
        <v>Normal</v>
      </c>
      <c r="I100" t="str">
        <v>Male</v>
      </c>
      <c r="J100" t="str">
        <v>Electronics</v>
      </c>
      <c r="K100" s="1">
        <v>45344</v>
      </c>
      <c r="L100">
        <v>88.696129426312993</v>
      </c>
      <c r="M100">
        <v>1</v>
      </c>
      <c r="N100">
        <v>88.696129426312993</v>
      </c>
      <c r="O100">
        <v>26.608838827893901</v>
      </c>
      <c r="P100" t="str">
        <v>Cash</v>
      </c>
      <c r="Q100">
        <v>62.087290598419088</v>
      </c>
      <c r="R100">
        <v>0.3000000000000001</v>
      </c>
      <c r="S100">
        <v>88.696129426312993</v>
      </c>
    </row>
    <row r="101" spans="4:19" x14ac:dyDescent="0.3">
      <c r="D101" t="str">
        <v>INV1570</v>
      </c>
      <c r="E101" t="str">
        <v>Branch A</v>
      </c>
      <c r="F101" t="str">
        <v>Mandalay</v>
      </c>
      <c r="G101">
        <v>1022</v>
      </c>
      <c r="H101" t="str">
        <v>Member</v>
      </c>
      <c r="I101" t="str">
        <v>Female</v>
      </c>
      <c r="J101" t="str">
        <v>Electronics</v>
      </c>
      <c r="K101" s="1">
        <v>45328</v>
      </c>
      <c r="L101">
        <v>148.763873714228</v>
      </c>
      <c r="M101">
        <v>6</v>
      </c>
      <c r="N101">
        <v>892.58324228537299</v>
      </c>
      <c r="O101">
        <v>267.774972685612</v>
      </c>
      <c r="P101" t="str">
        <v>Cash</v>
      </c>
      <c r="Q101">
        <v>624.80826959976093</v>
      </c>
      <c r="R101">
        <v>0.30000000000000016</v>
      </c>
      <c r="S101">
        <v>5355.4994537122384</v>
      </c>
    </row>
    <row r="102" spans="4:19" x14ac:dyDescent="0.3">
      <c r="D102" t="str">
        <v>INV1573</v>
      </c>
      <c r="E102" t="str">
        <v>Branch C</v>
      </c>
      <c r="F102" t="str">
        <v>Yangon</v>
      </c>
      <c r="G102">
        <v>1248</v>
      </c>
      <c r="H102" t="str">
        <v>Normal</v>
      </c>
      <c r="I102" t="str">
        <v>Female</v>
      </c>
      <c r="J102" t="str">
        <v>Electronics</v>
      </c>
      <c r="K102" s="1">
        <v>45308</v>
      </c>
      <c r="L102">
        <v>100.39005026936201</v>
      </c>
      <c r="M102">
        <v>6</v>
      </c>
      <c r="N102">
        <v>602.34030161617204</v>
      </c>
      <c r="O102">
        <v>180.702090484851</v>
      </c>
      <c r="P102" t="str">
        <v>Cash</v>
      </c>
      <c r="Q102">
        <v>421.63821113132104</v>
      </c>
      <c r="R102">
        <v>0.29999999999999899</v>
      </c>
      <c r="S102">
        <v>3614.0418096970325</v>
      </c>
    </row>
    <row r="103" spans="4:19" x14ac:dyDescent="0.3">
      <c r="D103" t="str">
        <v>INV1583</v>
      </c>
      <c r="E103" t="str">
        <v>Branch C</v>
      </c>
      <c r="F103" t="str">
        <v>Mandalay</v>
      </c>
      <c r="G103">
        <v>2102</v>
      </c>
      <c r="H103" t="str">
        <v>Normal</v>
      </c>
      <c r="I103" t="str">
        <v>Male</v>
      </c>
      <c r="J103" t="str">
        <v>Electronics</v>
      </c>
      <c r="K103" s="1">
        <v>45375</v>
      </c>
      <c r="L103">
        <v>65.3105364013594</v>
      </c>
      <c r="M103">
        <v>2</v>
      </c>
      <c r="N103">
        <v>130.621072802718</v>
      </c>
      <c r="O103">
        <v>39.186321840815602</v>
      </c>
      <c r="P103" t="str">
        <v>E-Wallet</v>
      </c>
      <c r="Q103">
        <v>91.434750961902409</v>
      </c>
      <c r="R103">
        <v>0.30000000000000149</v>
      </c>
      <c r="S103">
        <v>261.24214560543601</v>
      </c>
    </row>
    <row r="104" spans="4:19" x14ac:dyDescent="0.3">
      <c r="D104" t="str">
        <v>INV1588</v>
      </c>
      <c r="E104" t="str">
        <v>Branch A</v>
      </c>
      <c r="F104" t="str">
        <v>Mandalay</v>
      </c>
      <c r="G104">
        <v>1252</v>
      </c>
      <c r="H104" t="str">
        <v>Member</v>
      </c>
      <c r="I104" t="str">
        <v>Female</v>
      </c>
      <c r="J104" t="str">
        <v>Electronics</v>
      </c>
      <c r="K104" s="1">
        <v>45335</v>
      </c>
      <c r="L104">
        <v>67.781326778411</v>
      </c>
      <c r="M104">
        <v>1</v>
      </c>
      <c r="N104">
        <v>67.781326778411</v>
      </c>
      <c r="O104">
        <v>20.3343980335233</v>
      </c>
      <c r="P104" t="str">
        <v>Credit Card</v>
      </c>
      <c r="Q104">
        <v>47.4469287448877</v>
      </c>
      <c r="R104">
        <v>0.3</v>
      </c>
      <c r="S104">
        <v>67.781326778411</v>
      </c>
    </row>
    <row r="105" spans="4:19" x14ac:dyDescent="0.3">
      <c r="D105" t="str">
        <v>INV1589</v>
      </c>
      <c r="E105" t="str">
        <v>Branch C</v>
      </c>
      <c r="F105" t="str">
        <v>Mandalay</v>
      </c>
      <c r="G105">
        <v>1965</v>
      </c>
      <c r="H105" t="str">
        <v>Member</v>
      </c>
      <c r="I105" t="str">
        <v>Male</v>
      </c>
      <c r="J105" t="str">
        <v>Electronics</v>
      </c>
      <c r="K105" s="1">
        <v>45359</v>
      </c>
      <c r="L105">
        <v>23.038818061549801</v>
      </c>
      <c r="M105">
        <v>4</v>
      </c>
      <c r="N105">
        <v>92.155272246199303</v>
      </c>
      <c r="O105">
        <v>27.6465816738597</v>
      </c>
      <c r="P105" t="str">
        <v>Cash</v>
      </c>
      <c r="Q105">
        <v>64.508690572339603</v>
      </c>
      <c r="R105">
        <v>0.29999999999999899</v>
      </c>
      <c r="S105">
        <v>368.62108898479721</v>
      </c>
    </row>
    <row r="106" spans="4:19" x14ac:dyDescent="0.3">
      <c r="D106" t="str">
        <v>INV1592</v>
      </c>
      <c r="E106" t="str">
        <v>Branch C</v>
      </c>
      <c r="F106" t="str">
        <v>Naypyidaw</v>
      </c>
      <c r="G106">
        <v>2129</v>
      </c>
      <c r="H106" t="str">
        <v>Normal</v>
      </c>
      <c r="I106" t="str">
        <v>Female</v>
      </c>
      <c r="J106" t="str">
        <v>Electronics</v>
      </c>
      <c r="K106" s="1">
        <v>45360</v>
      </c>
      <c r="L106">
        <v>231.896495356862</v>
      </c>
      <c r="M106">
        <v>2</v>
      </c>
      <c r="N106">
        <v>463.79299071372401</v>
      </c>
      <c r="O106">
        <v>139.137897214117</v>
      </c>
      <c r="P106" t="str">
        <v>E-Wallet</v>
      </c>
      <c r="Q106">
        <v>324.65509349960701</v>
      </c>
      <c r="R106">
        <v>0.29999999999999954</v>
      </c>
      <c r="S106">
        <v>927.58598142744802</v>
      </c>
    </row>
    <row r="107" spans="4:19" x14ac:dyDescent="0.3">
      <c r="D107" t="str">
        <v>INV1601</v>
      </c>
      <c r="E107" t="str">
        <v>Branch A</v>
      </c>
      <c r="F107" t="str">
        <v>Naypyidaw</v>
      </c>
      <c r="G107">
        <v>2009</v>
      </c>
      <c r="H107" t="str">
        <v>Member</v>
      </c>
      <c r="I107" t="str">
        <v>Male</v>
      </c>
      <c r="J107" t="str">
        <v>Electronics</v>
      </c>
      <c r="K107" s="1">
        <v>45351</v>
      </c>
      <c r="L107">
        <v>43.9334002088044</v>
      </c>
      <c r="M107">
        <v>9</v>
      </c>
      <c r="N107">
        <v>395.40060187923899</v>
      </c>
      <c r="O107">
        <v>118.620180563771</v>
      </c>
      <c r="P107" t="str">
        <v>Credit Card</v>
      </c>
      <c r="Q107">
        <v>276.780421315468</v>
      </c>
      <c r="R107">
        <v>0.29999999999999821</v>
      </c>
      <c r="S107">
        <v>3558.6054169131507</v>
      </c>
    </row>
    <row r="108" spans="4:19" x14ac:dyDescent="0.3">
      <c r="D108" t="str">
        <v>INV1603</v>
      </c>
      <c r="E108" t="str">
        <v>Branch A</v>
      </c>
      <c r="F108" t="str">
        <v>Yangon</v>
      </c>
      <c r="G108">
        <v>2478</v>
      </c>
      <c r="H108" t="str">
        <v>Member</v>
      </c>
      <c r="I108" t="str">
        <v>Female</v>
      </c>
      <c r="J108" t="str">
        <v>Electronics</v>
      </c>
      <c r="K108" s="1">
        <v>45312</v>
      </c>
      <c r="L108">
        <v>45.7374469577342</v>
      </c>
      <c r="M108">
        <v>3</v>
      </c>
      <c r="N108">
        <v>137.21234087320201</v>
      </c>
      <c r="O108">
        <v>41.163702261960701</v>
      </c>
      <c r="P108" t="str">
        <v>Cash</v>
      </c>
      <c r="Q108">
        <v>96.048638611241302</v>
      </c>
      <c r="R108">
        <v>0.30000000000000077</v>
      </c>
      <c r="S108">
        <v>411.637022619606</v>
      </c>
    </row>
    <row r="109" spans="4:19" x14ac:dyDescent="0.3">
      <c r="D109" t="str">
        <v>INV1604</v>
      </c>
      <c r="E109" t="str">
        <v>Branch C</v>
      </c>
      <c r="F109" t="str">
        <v>Mandalay</v>
      </c>
      <c r="G109">
        <v>2315</v>
      </c>
      <c r="H109" t="str">
        <v>Member</v>
      </c>
      <c r="I109" t="str">
        <v>Male</v>
      </c>
      <c r="J109" t="str">
        <v>Electronics</v>
      </c>
      <c r="K109" s="1">
        <v>45299</v>
      </c>
      <c r="L109">
        <v>212.573881310649</v>
      </c>
      <c r="M109">
        <v>1</v>
      </c>
      <c r="N109">
        <v>212.573881310649</v>
      </c>
      <c r="O109">
        <v>63.772164393194899</v>
      </c>
      <c r="P109" t="str">
        <v>Cash</v>
      </c>
      <c r="Q109">
        <v>148.80171691745409</v>
      </c>
      <c r="R109">
        <v>0.30000000000000099</v>
      </c>
      <c r="S109">
        <v>212.573881310649</v>
      </c>
    </row>
    <row r="110" spans="4:19" x14ac:dyDescent="0.3">
      <c r="D110" t="str">
        <v>INV1611</v>
      </c>
      <c r="E110" t="str">
        <v>Branch C</v>
      </c>
      <c r="F110" t="str">
        <v>Yangon</v>
      </c>
      <c r="G110">
        <v>1127</v>
      </c>
      <c r="H110" t="str">
        <v>Member</v>
      </c>
      <c r="I110" t="str">
        <v>Male</v>
      </c>
      <c r="J110" t="str">
        <v>Electronics</v>
      </c>
      <c r="K110" s="1">
        <v>45300</v>
      </c>
      <c r="L110">
        <v>223.50954493881099</v>
      </c>
      <c r="M110">
        <v>6</v>
      </c>
      <c r="N110">
        <v>1341.05726963286</v>
      </c>
      <c r="O110">
        <v>402.31718088986003</v>
      </c>
      <c r="P110" t="str">
        <v>E-Wallet</v>
      </c>
      <c r="Q110">
        <v>938.74008874299989</v>
      </c>
      <c r="R110">
        <v>0.30000000000000154</v>
      </c>
      <c r="S110">
        <v>8046.3436177971598</v>
      </c>
    </row>
    <row r="111" spans="4:19" x14ac:dyDescent="0.3">
      <c r="D111" t="str">
        <v>INV1622</v>
      </c>
      <c r="E111" t="str">
        <v>Branch B</v>
      </c>
      <c r="F111" t="str">
        <v>Yangon</v>
      </c>
      <c r="G111">
        <v>2079</v>
      </c>
      <c r="H111" t="str">
        <v>Member</v>
      </c>
      <c r="I111" t="str">
        <v>Female</v>
      </c>
      <c r="J111" t="str">
        <v>Electronics</v>
      </c>
      <c r="K111" s="1">
        <v>45354</v>
      </c>
      <c r="L111">
        <v>257.73562880922702</v>
      </c>
      <c r="M111">
        <v>4</v>
      </c>
      <c r="N111">
        <v>1030.9425152368999</v>
      </c>
      <c r="O111">
        <v>309.28275457107202</v>
      </c>
      <c r="P111" t="str">
        <v>Cash</v>
      </c>
      <c r="Q111">
        <v>721.65976066582789</v>
      </c>
      <c r="R111">
        <v>0.30000000000000199</v>
      </c>
      <c r="S111">
        <v>4123.7700609475996</v>
      </c>
    </row>
    <row r="112" spans="4:19" x14ac:dyDescent="0.3">
      <c r="D112" t="str">
        <v>INV1629</v>
      </c>
      <c r="E112" t="str">
        <v>Branch A</v>
      </c>
      <c r="F112" t="str">
        <v>Mandalay</v>
      </c>
      <c r="G112">
        <v>2080</v>
      </c>
      <c r="H112" t="str">
        <v>Normal</v>
      </c>
      <c r="I112" t="str">
        <v>Female</v>
      </c>
      <c r="J112" t="str">
        <v>Electronics</v>
      </c>
      <c r="K112" s="1">
        <v>45334</v>
      </c>
      <c r="L112">
        <v>117.63915964566399</v>
      </c>
      <c r="M112">
        <v>9</v>
      </c>
      <c r="N112">
        <v>1058.75243681097</v>
      </c>
      <c r="O112">
        <v>317.625731043293</v>
      </c>
      <c r="P112" t="str">
        <v>Credit Card</v>
      </c>
      <c r="Q112">
        <v>741.12670576767709</v>
      </c>
      <c r="R112">
        <v>0.30000000000000182</v>
      </c>
      <c r="S112">
        <v>9528.7719312987301</v>
      </c>
    </row>
    <row r="113" spans="4:19" x14ac:dyDescent="0.3">
      <c r="D113" t="str">
        <v>INV1630</v>
      </c>
      <c r="E113" t="str">
        <v>Branch B</v>
      </c>
      <c r="F113" t="str">
        <v>Yangon</v>
      </c>
      <c r="G113">
        <v>2009</v>
      </c>
      <c r="H113" t="str">
        <v>Normal</v>
      </c>
      <c r="I113" t="str">
        <v>Male</v>
      </c>
      <c r="J113" t="str">
        <v>Electronics</v>
      </c>
      <c r="K113" s="1">
        <v>45340</v>
      </c>
      <c r="L113">
        <v>237.83650002344601</v>
      </c>
      <c r="M113">
        <v>4</v>
      </c>
      <c r="N113">
        <v>951.34600009378698</v>
      </c>
      <c r="O113">
        <v>285.403800028136</v>
      </c>
      <c r="P113" t="str">
        <v>Credit Card</v>
      </c>
      <c r="Q113">
        <v>665.94220006565092</v>
      </c>
      <c r="R113">
        <v>0.3</v>
      </c>
      <c r="S113">
        <v>3805.3840003751479</v>
      </c>
    </row>
    <row r="114" spans="4:19" x14ac:dyDescent="0.3">
      <c r="D114" t="str">
        <v>INV1635</v>
      </c>
      <c r="E114" t="str">
        <v>Branch B</v>
      </c>
      <c r="F114" t="str">
        <v>Yangon</v>
      </c>
      <c r="G114">
        <v>1599</v>
      </c>
      <c r="H114" t="str">
        <v>Normal</v>
      </c>
      <c r="I114" t="str">
        <v>Female</v>
      </c>
      <c r="J114" t="str">
        <v>Electronics</v>
      </c>
      <c r="K114" s="1">
        <v>45292</v>
      </c>
      <c r="L114">
        <v>221.54449325118199</v>
      </c>
      <c r="M114">
        <v>2</v>
      </c>
      <c r="N114">
        <v>443.08898650236398</v>
      </c>
      <c r="O114">
        <v>132.92669595070899</v>
      </c>
      <c r="P114" t="str">
        <v>Cash</v>
      </c>
      <c r="Q114">
        <v>310.16229055165502</v>
      </c>
      <c r="R114">
        <v>0.29999999999999949</v>
      </c>
      <c r="S114">
        <v>886.17797300472796</v>
      </c>
    </row>
    <row r="115" spans="4:19" x14ac:dyDescent="0.3">
      <c r="D115" t="str">
        <v>INV1637</v>
      </c>
      <c r="E115" t="str">
        <v>Branch A</v>
      </c>
      <c r="F115" t="str">
        <v>Mandalay</v>
      </c>
      <c r="G115">
        <v>1083</v>
      </c>
      <c r="H115" t="str">
        <v>Normal</v>
      </c>
      <c r="I115" t="str">
        <v>Female</v>
      </c>
      <c r="J115" t="str">
        <v>Electronics</v>
      </c>
      <c r="K115" s="1">
        <v>45349</v>
      </c>
      <c r="L115">
        <v>107.918297579778</v>
      </c>
      <c r="M115">
        <v>4</v>
      </c>
      <c r="N115">
        <v>431.673190319112</v>
      </c>
      <c r="O115">
        <v>129.50195709573299</v>
      </c>
      <c r="P115" t="str">
        <v>Cash</v>
      </c>
      <c r="Q115">
        <v>302.17123322337898</v>
      </c>
      <c r="R115">
        <v>0.29999999999999866</v>
      </c>
      <c r="S115">
        <v>1726.692761276448</v>
      </c>
    </row>
    <row r="116" spans="4:19" x14ac:dyDescent="0.3">
      <c r="D116" t="str">
        <v>INV1649</v>
      </c>
      <c r="E116" t="str">
        <v>Branch B</v>
      </c>
      <c r="F116" t="str">
        <v>Yangon</v>
      </c>
      <c r="G116">
        <v>1466</v>
      </c>
      <c r="H116" t="str">
        <v>Normal</v>
      </c>
      <c r="I116" t="str">
        <v>Female</v>
      </c>
      <c r="J116" t="str">
        <v>Electronics</v>
      </c>
      <c r="K116" s="1">
        <v>45338</v>
      </c>
      <c r="L116">
        <v>77.296164513335199</v>
      </c>
      <c r="M116">
        <v>9</v>
      </c>
      <c r="N116">
        <v>695.66548062001698</v>
      </c>
      <c r="O116">
        <v>208.699644186005</v>
      </c>
      <c r="P116" t="str">
        <v>E-Wallet</v>
      </c>
      <c r="Q116">
        <v>486.96583643401198</v>
      </c>
      <c r="R116">
        <v>0.29999999999999988</v>
      </c>
      <c r="S116">
        <v>6260.9893255801526</v>
      </c>
    </row>
    <row r="117" spans="4:19" x14ac:dyDescent="0.3">
      <c r="D117" t="str">
        <v>INV1650</v>
      </c>
      <c r="E117" t="str">
        <v>Branch C</v>
      </c>
      <c r="F117" t="str">
        <v>Mandalay</v>
      </c>
      <c r="G117">
        <v>2236</v>
      </c>
      <c r="H117" t="str">
        <v>Normal</v>
      </c>
      <c r="I117" t="str">
        <v>Male</v>
      </c>
      <c r="J117" t="str">
        <v>Electronics</v>
      </c>
      <c r="K117" s="1">
        <v>45361</v>
      </c>
      <c r="L117">
        <v>86.957332364572807</v>
      </c>
      <c r="M117">
        <v>4</v>
      </c>
      <c r="N117">
        <v>347.829329458291</v>
      </c>
      <c r="O117">
        <v>104.348798837487</v>
      </c>
      <c r="P117" t="str">
        <v>E-Wallet</v>
      </c>
      <c r="Q117">
        <v>243.48053062080402</v>
      </c>
      <c r="R117">
        <v>0.2999999999999991</v>
      </c>
      <c r="S117">
        <v>1391.317317833164</v>
      </c>
    </row>
    <row r="118" spans="4:19" x14ac:dyDescent="0.3">
      <c r="D118" t="str">
        <v>INV1655</v>
      </c>
      <c r="E118" t="str">
        <v>Branch C</v>
      </c>
      <c r="F118" t="str">
        <v>Naypyidaw</v>
      </c>
      <c r="G118">
        <v>2347</v>
      </c>
      <c r="H118" t="str">
        <v>Member</v>
      </c>
      <c r="I118" t="str">
        <v>Female</v>
      </c>
      <c r="J118" t="str">
        <v>Electronics</v>
      </c>
      <c r="K118" s="1">
        <v>45333</v>
      </c>
      <c r="L118">
        <v>285.06585353327603</v>
      </c>
      <c r="M118">
        <v>7</v>
      </c>
      <c r="N118">
        <v>1995.46097473293</v>
      </c>
      <c r="O118">
        <v>598.63829241988003</v>
      </c>
      <c r="P118" t="str">
        <v>E-Wallet</v>
      </c>
      <c r="Q118">
        <v>1396.8226823130499</v>
      </c>
      <c r="R118">
        <v>0.30000000000000054</v>
      </c>
      <c r="S118">
        <v>13968.22682313051</v>
      </c>
    </row>
    <row r="119" spans="4:19" x14ac:dyDescent="0.3">
      <c r="D119" t="str">
        <v>INV1656</v>
      </c>
      <c r="E119" t="str">
        <v>Branch B</v>
      </c>
      <c r="F119" t="str">
        <v>Naypyidaw</v>
      </c>
      <c r="G119">
        <v>1395</v>
      </c>
      <c r="H119" t="str">
        <v>Normal</v>
      </c>
      <c r="I119" t="str">
        <v>Male</v>
      </c>
      <c r="J119" t="str">
        <v>Electronics</v>
      </c>
      <c r="K119" s="1">
        <v>45312</v>
      </c>
      <c r="L119">
        <v>283.95306232961701</v>
      </c>
      <c r="M119">
        <v>7</v>
      </c>
      <c r="N119">
        <v>1987.6714363073199</v>
      </c>
      <c r="O119">
        <v>596.30143089219598</v>
      </c>
      <c r="P119" t="str">
        <v>E-Wallet</v>
      </c>
      <c r="Q119">
        <v>1391.3700054151241</v>
      </c>
      <c r="R119">
        <v>0.29999999999999993</v>
      </c>
      <c r="S119">
        <v>13913.700054151239</v>
      </c>
    </row>
    <row r="120" spans="4:19" x14ac:dyDescent="0.3">
      <c r="D120" t="str">
        <v>INV1660</v>
      </c>
      <c r="E120" t="str">
        <v>Branch B</v>
      </c>
      <c r="F120" t="str">
        <v>Naypyidaw</v>
      </c>
      <c r="G120">
        <v>2309</v>
      </c>
      <c r="H120" t="str">
        <v>Member</v>
      </c>
      <c r="I120" t="str">
        <v>Female</v>
      </c>
      <c r="J120" t="str">
        <v>Electronics</v>
      </c>
      <c r="K120" s="1">
        <v>45346</v>
      </c>
      <c r="L120">
        <v>181.08488601252401</v>
      </c>
      <c r="M120">
        <v>7</v>
      </c>
      <c r="N120">
        <v>1267.5942020876701</v>
      </c>
      <c r="O120">
        <v>380.27826062630101</v>
      </c>
      <c r="P120" t="str">
        <v>Cash</v>
      </c>
      <c r="Q120">
        <v>887.31594146136899</v>
      </c>
      <c r="R120">
        <v>0.30000000000000004</v>
      </c>
      <c r="S120">
        <v>8873.1594146136904</v>
      </c>
    </row>
    <row r="121" spans="4:19" x14ac:dyDescent="0.3">
      <c r="D121" t="str">
        <v>INV1665</v>
      </c>
      <c r="E121" t="str">
        <v>Branch B</v>
      </c>
      <c r="F121" t="str">
        <v>Naypyidaw</v>
      </c>
      <c r="G121">
        <v>2476</v>
      </c>
      <c r="H121" t="str">
        <v>Member</v>
      </c>
      <c r="I121" t="str">
        <v>Female</v>
      </c>
      <c r="J121" t="str">
        <v>Electronics</v>
      </c>
      <c r="K121" s="1">
        <v>45347</v>
      </c>
      <c r="L121">
        <v>230.52305038791599</v>
      </c>
      <c r="M121">
        <v>2</v>
      </c>
      <c r="N121">
        <v>461.046100775833</v>
      </c>
      <c r="O121">
        <v>138.31383023275001</v>
      </c>
      <c r="P121" t="str">
        <v>Cash</v>
      </c>
      <c r="Q121">
        <v>322.73227054308302</v>
      </c>
      <c r="R121">
        <v>0.30000000000000016</v>
      </c>
      <c r="S121">
        <v>922.09220155166599</v>
      </c>
    </row>
    <row r="122" spans="4:19" x14ac:dyDescent="0.3">
      <c r="D122" t="str">
        <v>INV1668</v>
      </c>
      <c r="E122" t="str">
        <v>Branch C</v>
      </c>
      <c r="F122" t="str">
        <v>Naypyidaw</v>
      </c>
      <c r="G122">
        <v>1310</v>
      </c>
      <c r="H122" t="str">
        <v>Normal</v>
      </c>
      <c r="I122" t="str">
        <v>Male</v>
      </c>
      <c r="J122" t="str">
        <v>Electronics</v>
      </c>
      <c r="K122" s="1">
        <v>45361</v>
      </c>
      <c r="L122">
        <v>281.19990515068298</v>
      </c>
      <c r="M122">
        <v>1</v>
      </c>
      <c r="N122">
        <v>281.19990515068298</v>
      </c>
      <c r="O122">
        <v>84.3599715452049</v>
      </c>
      <c r="P122" t="str">
        <v>Credit Card</v>
      </c>
      <c r="Q122">
        <v>196.83993360547808</v>
      </c>
      <c r="R122">
        <v>0.30000000000000004</v>
      </c>
      <c r="S122">
        <v>281.19990515068298</v>
      </c>
    </row>
    <row r="123" spans="4:19" x14ac:dyDescent="0.3">
      <c r="D123" t="str">
        <v>INV1697</v>
      </c>
      <c r="E123" t="str">
        <v>Branch C</v>
      </c>
      <c r="F123" t="str">
        <v>Mandalay</v>
      </c>
      <c r="G123">
        <v>1025</v>
      </c>
      <c r="H123" t="str">
        <v>Normal</v>
      </c>
      <c r="I123" t="str">
        <v>Female</v>
      </c>
      <c r="J123" t="str">
        <v>Electronics</v>
      </c>
      <c r="K123" s="1">
        <v>45327</v>
      </c>
      <c r="L123">
        <v>67.953968671762397</v>
      </c>
      <c r="M123">
        <v>9</v>
      </c>
      <c r="N123">
        <v>611.585718045862</v>
      </c>
      <c r="O123">
        <v>183.475715413758</v>
      </c>
      <c r="P123" t="str">
        <v>E-Wallet</v>
      </c>
      <c r="Q123">
        <v>428.110002632104</v>
      </c>
      <c r="R123">
        <v>0.29999999999999899</v>
      </c>
      <c r="S123">
        <v>5504.2714624127584</v>
      </c>
    </row>
    <row r="124" spans="4:19" x14ac:dyDescent="0.3">
      <c r="D124" t="str">
        <v>INV1698</v>
      </c>
      <c r="E124" t="str">
        <v>Branch A</v>
      </c>
      <c r="F124" t="str">
        <v>Mandalay</v>
      </c>
      <c r="G124">
        <v>2394</v>
      </c>
      <c r="H124" t="str">
        <v>Normal</v>
      </c>
      <c r="I124" t="str">
        <v>Male</v>
      </c>
      <c r="J124" t="str">
        <v>Electronics</v>
      </c>
      <c r="K124" s="1">
        <v>45331</v>
      </c>
      <c r="L124">
        <v>26.1022595146536</v>
      </c>
      <c r="M124">
        <v>6</v>
      </c>
      <c r="N124">
        <v>156.61355708792101</v>
      </c>
      <c r="O124">
        <v>46.984067126376502</v>
      </c>
      <c r="P124" t="str">
        <v>Cash</v>
      </c>
      <c r="Q124">
        <v>109.62948996154451</v>
      </c>
      <c r="R124">
        <v>0.30000000000000127</v>
      </c>
      <c r="S124">
        <v>939.68134252752611</v>
      </c>
    </row>
    <row r="125" spans="4:19" x14ac:dyDescent="0.3">
      <c r="D125" t="str">
        <v>INV1706</v>
      </c>
      <c r="E125" t="str">
        <v>Branch B</v>
      </c>
      <c r="F125" t="str">
        <v>Mandalay</v>
      </c>
      <c r="G125">
        <v>1669</v>
      </c>
      <c r="H125" t="str">
        <v>Member</v>
      </c>
      <c r="I125" t="str">
        <v>Male</v>
      </c>
      <c r="J125" t="str">
        <v>Electronics</v>
      </c>
      <c r="K125" s="1">
        <v>45379</v>
      </c>
      <c r="L125">
        <v>116.106884771495</v>
      </c>
      <c r="M125">
        <v>7</v>
      </c>
      <c r="N125">
        <v>812.74819340046702</v>
      </c>
      <c r="O125">
        <v>243.82445802014001</v>
      </c>
      <c r="P125" t="str">
        <v>Cash</v>
      </c>
      <c r="Q125">
        <v>568.923735380327</v>
      </c>
      <c r="R125">
        <v>0.29999999999999988</v>
      </c>
      <c r="S125">
        <v>5689.2373538032689</v>
      </c>
    </row>
    <row r="126" spans="4:19" x14ac:dyDescent="0.3">
      <c r="D126" t="str">
        <v>INV1713</v>
      </c>
      <c r="E126" t="str">
        <v>Branch A</v>
      </c>
      <c r="F126" t="str">
        <v>Naypyidaw</v>
      </c>
      <c r="G126">
        <v>1801</v>
      </c>
      <c r="H126" t="str">
        <v>Normal</v>
      </c>
      <c r="I126" t="str">
        <v>Male</v>
      </c>
      <c r="J126" t="str">
        <v>Electronics</v>
      </c>
      <c r="K126" s="1">
        <v>45360</v>
      </c>
      <c r="L126">
        <v>94.829763388112994</v>
      </c>
      <c r="M126">
        <v>7</v>
      </c>
      <c r="N126">
        <v>663.808343716791</v>
      </c>
      <c r="O126">
        <v>199.14250311503699</v>
      </c>
      <c r="P126" t="str">
        <v>Cash</v>
      </c>
      <c r="Q126">
        <v>464.66584060175398</v>
      </c>
      <c r="R126">
        <v>0.29999999999999954</v>
      </c>
      <c r="S126">
        <v>4646.6584060175373</v>
      </c>
    </row>
    <row r="127" spans="4:19" x14ac:dyDescent="0.3">
      <c r="D127" t="str">
        <v>INV1717</v>
      </c>
      <c r="E127" t="str">
        <v>Branch B</v>
      </c>
      <c r="F127" t="str">
        <v>Naypyidaw</v>
      </c>
      <c r="G127">
        <v>1978</v>
      </c>
      <c r="H127" t="str">
        <v>Normal</v>
      </c>
      <c r="I127" t="str">
        <v>Male</v>
      </c>
      <c r="J127" t="str">
        <v>Electronics</v>
      </c>
      <c r="K127" s="1">
        <v>45374</v>
      </c>
      <c r="L127">
        <v>194.757463239088</v>
      </c>
      <c r="M127">
        <v>1</v>
      </c>
      <c r="N127">
        <v>194.757463239088</v>
      </c>
      <c r="O127">
        <v>58.427238971726403</v>
      </c>
      <c r="P127" t="str">
        <v>Cash</v>
      </c>
      <c r="Q127">
        <v>136.33022426736159</v>
      </c>
      <c r="R127">
        <v>0.30000000000000004</v>
      </c>
      <c r="S127">
        <v>194.757463239088</v>
      </c>
    </row>
    <row r="128" spans="4:19" x14ac:dyDescent="0.3">
      <c r="D128" t="str">
        <v>INV1732</v>
      </c>
      <c r="E128" t="str">
        <v>Branch A</v>
      </c>
      <c r="F128" t="str">
        <v>Mandalay</v>
      </c>
      <c r="G128">
        <v>2071</v>
      </c>
      <c r="H128" t="str">
        <v>Member</v>
      </c>
      <c r="I128" t="str">
        <v>Female</v>
      </c>
      <c r="J128" t="str">
        <v>Electronics</v>
      </c>
      <c r="K128" s="1">
        <v>45315</v>
      </c>
      <c r="L128">
        <v>136.336989232387</v>
      </c>
      <c r="M128">
        <v>7</v>
      </c>
      <c r="N128">
        <v>954.35892462671495</v>
      </c>
      <c r="O128">
        <v>286.30767738801399</v>
      </c>
      <c r="P128" t="str">
        <v>Cash</v>
      </c>
      <c r="Q128">
        <v>668.05124723870097</v>
      </c>
      <c r="R128">
        <v>0.29999999999999949</v>
      </c>
      <c r="S128">
        <v>6680.5124723870049</v>
      </c>
    </row>
    <row r="129" spans="4:19" x14ac:dyDescent="0.3">
      <c r="D129" t="str">
        <v>INV1743</v>
      </c>
      <c r="E129" t="str">
        <v>Branch C</v>
      </c>
      <c r="F129" t="str">
        <v>Mandalay</v>
      </c>
      <c r="G129">
        <v>1164</v>
      </c>
      <c r="H129" t="str">
        <v>Member</v>
      </c>
      <c r="I129" t="str">
        <v>Female</v>
      </c>
      <c r="J129" t="str">
        <v>Electronics</v>
      </c>
      <c r="K129" s="1">
        <v>45292</v>
      </c>
      <c r="L129">
        <v>141.31597712116499</v>
      </c>
      <c r="M129">
        <v>7</v>
      </c>
      <c r="N129">
        <v>989.21183984816105</v>
      </c>
      <c r="O129">
        <v>296.76355195444802</v>
      </c>
      <c r="P129" t="str">
        <v>Cash</v>
      </c>
      <c r="Q129">
        <v>692.44828789371309</v>
      </c>
      <c r="R129">
        <v>0.29999999999999966</v>
      </c>
      <c r="S129">
        <v>6924.4828789371277</v>
      </c>
    </row>
    <row r="130" spans="4:19" x14ac:dyDescent="0.3">
      <c r="D130" t="str">
        <v>INV1745</v>
      </c>
      <c r="E130" t="str">
        <v>Branch A</v>
      </c>
      <c r="F130" t="str">
        <v>Yangon</v>
      </c>
      <c r="G130">
        <v>2360</v>
      </c>
      <c r="H130" t="str">
        <v>Normal</v>
      </c>
      <c r="I130" t="str">
        <v>Female</v>
      </c>
      <c r="J130" t="str">
        <v>Electronics</v>
      </c>
      <c r="K130" s="1">
        <v>45338</v>
      </c>
      <c r="L130">
        <v>57.816585203890099</v>
      </c>
      <c r="M130">
        <v>6</v>
      </c>
      <c r="N130">
        <v>346.89951122334003</v>
      </c>
      <c r="O130">
        <v>104.069853367002</v>
      </c>
      <c r="P130" t="str">
        <v>Cash</v>
      </c>
      <c r="Q130">
        <v>242.82965785633803</v>
      </c>
      <c r="R130">
        <v>0.3</v>
      </c>
      <c r="S130">
        <v>2081.3970673400399</v>
      </c>
    </row>
    <row r="131" spans="4:19" x14ac:dyDescent="0.3">
      <c r="D131" t="str">
        <v>INV1753</v>
      </c>
      <c r="E131" t="str">
        <v>Branch C</v>
      </c>
      <c r="F131" t="str">
        <v>Mandalay</v>
      </c>
      <c r="G131">
        <v>1672</v>
      </c>
      <c r="H131" t="str">
        <v>Normal</v>
      </c>
      <c r="I131" t="str">
        <v>Male</v>
      </c>
      <c r="J131" t="str">
        <v>Electronics</v>
      </c>
      <c r="K131" s="1">
        <v>45309</v>
      </c>
      <c r="L131">
        <v>11.4577002568429</v>
      </c>
      <c r="M131">
        <v>5</v>
      </c>
      <c r="N131">
        <v>57.288501284214497</v>
      </c>
      <c r="O131">
        <v>17.186550385264301</v>
      </c>
      <c r="P131" t="str">
        <v>Cash</v>
      </c>
      <c r="Q131">
        <v>40.101950898950193</v>
      </c>
      <c r="R131">
        <v>0.29999999999999921</v>
      </c>
      <c r="S131">
        <v>286.44250642107249</v>
      </c>
    </row>
    <row r="132" spans="4:19" x14ac:dyDescent="0.3">
      <c r="D132" t="str">
        <v>INV1770</v>
      </c>
      <c r="E132" t="str">
        <v>Branch C</v>
      </c>
      <c r="F132" t="str">
        <v>Yangon</v>
      </c>
      <c r="G132">
        <v>2224</v>
      </c>
      <c r="H132" t="str">
        <v>Normal</v>
      </c>
      <c r="I132" t="str">
        <v>Male</v>
      </c>
      <c r="J132" t="str">
        <v>Electronics</v>
      </c>
      <c r="K132" s="1">
        <v>45326</v>
      </c>
      <c r="L132">
        <v>95.570981286649697</v>
      </c>
      <c r="M132">
        <v>6</v>
      </c>
      <c r="N132">
        <v>573.42588771989801</v>
      </c>
      <c r="O132">
        <v>172.02776631596899</v>
      </c>
      <c r="P132" t="str">
        <v>Cash</v>
      </c>
      <c r="Q132">
        <v>401.39812140392905</v>
      </c>
      <c r="R132">
        <v>0.29999999999999921</v>
      </c>
      <c r="S132">
        <v>3440.5553263193879</v>
      </c>
    </row>
    <row r="133" spans="4:19" x14ac:dyDescent="0.3">
      <c r="D133" t="str">
        <v>INV1778</v>
      </c>
      <c r="E133" t="str">
        <v>Branch A</v>
      </c>
      <c r="F133" t="str">
        <v>Yangon</v>
      </c>
      <c r="G133">
        <v>1699</v>
      </c>
      <c r="H133" t="str">
        <v>Normal</v>
      </c>
      <c r="I133" t="str">
        <v>Male</v>
      </c>
      <c r="J133" t="str">
        <v>Electronics</v>
      </c>
      <c r="K133" s="1">
        <v>45355</v>
      </c>
      <c r="L133">
        <v>248.52344829416501</v>
      </c>
      <c r="M133">
        <v>8</v>
      </c>
      <c r="N133">
        <v>1988.1875863533201</v>
      </c>
      <c r="O133">
        <v>596.45627590599804</v>
      </c>
      <c r="P133" t="str">
        <v>Credit Card</v>
      </c>
      <c r="Q133">
        <v>1391.7313104473219</v>
      </c>
      <c r="R133">
        <v>0.3000000000000011</v>
      </c>
      <c r="S133">
        <v>15905.50069082656</v>
      </c>
    </row>
    <row r="134" spans="4:19" x14ac:dyDescent="0.3">
      <c r="D134" t="str">
        <v>INV1783</v>
      </c>
      <c r="E134" t="str">
        <v>Branch B</v>
      </c>
      <c r="F134" t="str">
        <v>Mandalay</v>
      </c>
      <c r="G134">
        <v>2238</v>
      </c>
      <c r="H134" t="str">
        <v>Normal</v>
      </c>
      <c r="I134" t="str">
        <v>Female</v>
      </c>
      <c r="J134" t="str">
        <v>Electronics</v>
      </c>
      <c r="K134" s="1">
        <v>45369</v>
      </c>
      <c r="L134">
        <v>285.47090379136199</v>
      </c>
      <c r="M134">
        <v>2</v>
      </c>
      <c r="N134">
        <v>570.94180758272398</v>
      </c>
      <c r="O134">
        <v>171.28254227481699</v>
      </c>
      <c r="P134" t="str">
        <v>Credit Card</v>
      </c>
      <c r="Q134">
        <v>399.65926530790699</v>
      </c>
      <c r="R134">
        <v>0.29999999999999966</v>
      </c>
      <c r="S134">
        <v>1141.883615165448</v>
      </c>
    </row>
    <row r="135" spans="4:19" x14ac:dyDescent="0.3">
      <c r="D135" t="str">
        <v>INV1784</v>
      </c>
      <c r="E135" t="str">
        <v>Branch B</v>
      </c>
      <c r="F135" t="str">
        <v>Naypyidaw</v>
      </c>
      <c r="G135">
        <v>2094</v>
      </c>
      <c r="H135" t="str">
        <v>Member</v>
      </c>
      <c r="I135" t="str">
        <v>Male</v>
      </c>
      <c r="J135" t="str">
        <v>Electronics</v>
      </c>
      <c r="K135" s="1">
        <v>45313</v>
      </c>
      <c r="L135">
        <v>49.755942842839303</v>
      </c>
      <c r="M135">
        <v>9</v>
      </c>
      <c r="N135">
        <v>447.80348558555397</v>
      </c>
      <c r="O135">
        <v>134.34104567566601</v>
      </c>
      <c r="P135" t="str">
        <v>Cash</v>
      </c>
      <c r="Q135">
        <v>313.46243990988796</v>
      </c>
      <c r="R135">
        <v>0.2999999999999996</v>
      </c>
      <c r="S135">
        <v>4030.2313702699857</v>
      </c>
    </row>
    <row r="136" spans="4:19" x14ac:dyDescent="0.3">
      <c r="D136" t="str">
        <v>INV1786</v>
      </c>
      <c r="E136" t="str">
        <v>Branch A</v>
      </c>
      <c r="F136" t="str">
        <v>Naypyidaw</v>
      </c>
      <c r="G136">
        <v>1918</v>
      </c>
      <c r="H136" t="str">
        <v>Normal</v>
      </c>
      <c r="I136" t="str">
        <v>Female</v>
      </c>
      <c r="J136" t="str">
        <v>Electronics</v>
      </c>
      <c r="K136" s="1">
        <v>45314</v>
      </c>
      <c r="L136">
        <v>193.34906375167901</v>
      </c>
      <c r="M136">
        <v>2</v>
      </c>
      <c r="N136">
        <v>386.69812750335899</v>
      </c>
      <c r="O136">
        <v>116.009438251007</v>
      </c>
      <c r="P136" t="str">
        <v>Credit Card</v>
      </c>
      <c r="Q136">
        <v>270.68868925235199</v>
      </c>
      <c r="R136">
        <v>0.29999999999999821</v>
      </c>
      <c r="S136">
        <v>773.39625500671798</v>
      </c>
    </row>
    <row r="137" spans="4:19" x14ac:dyDescent="0.3">
      <c r="D137" t="str">
        <v>INV1794</v>
      </c>
      <c r="E137" t="str">
        <v>Branch A</v>
      </c>
      <c r="F137" t="str">
        <v>Yangon</v>
      </c>
      <c r="G137">
        <v>1892</v>
      </c>
      <c r="H137" t="str">
        <v>Member</v>
      </c>
      <c r="I137" t="str">
        <v>Male</v>
      </c>
      <c r="J137" t="str">
        <v>Electronics</v>
      </c>
      <c r="K137" s="1">
        <v>45380</v>
      </c>
      <c r="L137">
        <v>40.697438404593498</v>
      </c>
      <c r="M137">
        <v>2</v>
      </c>
      <c r="N137">
        <v>81.394876809187096</v>
      </c>
      <c r="O137">
        <v>24.418463042756098</v>
      </c>
      <c r="P137" t="str">
        <v>Cash</v>
      </c>
      <c r="Q137">
        <v>56.976413766430994</v>
      </c>
      <c r="R137">
        <v>0.29999999999999966</v>
      </c>
      <c r="S137">
        <v>162.78975361837419</v>
      </c>
    </row>
    <row r="138" spans="4:19" x14ac:dyDescent="0.3">
      <c r="D138" t="str">
        <v>INV1798</v>
      </c>
      <c r="E138" t="str">
        <v>Branch B</v>
      </c>
      <c r="F138" t="str">
        <v>Mandalay</v>
      </c>
      <c r="G138">
        <v>2310</v>
      </c>
      <c r="H138" t="str">
        <v>Member</v>
      </c>
      <c r="I138" t="str">
        <v>Female</v>
      </c>
      <c r="J138" t="str">
        <v>Electronics</v>
      </c>
      <c r="K138" s="1">
        <v>45303</v>
      </c>
      <c r="L138">
        <v>129.148556633743</v>
      </c>
      <c r="M138">
        <v>8</v>
      </c>
      <c r="N138">
        <v>1033.1884530699499</v>
      </c>
      <c r="O138">
        <v>309.956535920985</v>
      </c>
      <c r="P138" t="str">
        <v>Cash</v>
      </c>
      <c r="Q138">
        <v>723.23191714896484</v>
      </c>
      <c r="R138">
        <v>0.3000000000000001</v>
      </c>
      <c r="S138">
        <v>8265.5076245595992</v>
      </c>
    </row>
    <row r="139" spans="4:19" x14ac:dyDescent="0.3">
      <c r="D139" t="str">
        <v>INV1808</v>
      </c>
      <c r="E139" t="str">
        <v>Branch B</v>
      </c>
      <c r="F139" t="str">
        <v>Naypyidaw</v>
      </c>
      <c r="G139">
        <v>2051</v>
      </c>
      <c r="H139" t="str">
        <v>Member</v>
      </c>
      <c r="I139" t="str">
        <v>Male</v>
      </c>
      <c r="J139" t="str">
        <v>Electronics</v>
      </c>
      <c r="K139" s="1">
        <v>45359</v>
      </c>
      <c r="L139">
        <v>179.67274823979801</v>
      </c>
      <c r="M139">
        <v>7</v>
      </c>
      <c r="N139">
        <v>1257.7092376785899</v>
      </c>
      <c r="O139">
        <v>377.31277130357699</v>
      </c>
      <c r="P139" t="str">
        <v>E-Wallet</v>
      </c>
      <c r="Q139">
        <v>880.39646637501301</v>
      </c>
      <c r="R139">
        <v>0.3</v>
      </c>
      <c r="S139">
        <v>8803.9646637501301</v>
      </c>
    </row>
    <row r="140" spans="4:19" x14ac:dyDescent="0.3">
      <c r="D140" t="str">
        <v>INV1810</v>
      </c>
      <c r="E140" t="str">
        <v>Branch B</v>
      </c>
      <c r="F140" t="str">
        <v>Naypyidaw</v>
      </c>
      <c r="G140">
        <v>2231</v>
      </c>
      <c r="H140" t="str">
        <v>Member</v>
      </c>
      <c r="I140" t="str">
        <v>Male</v>
      </c>
      <c r="J140" t="str">
        <v>Electronics</v>
      </c>
      <c r="K140" s="1">
        <v>45353</v>
      </c>
      <c r="L140">
        <v>269.75240932781799</v>
      </c>
      <c r="M140">
        <v>4</v>
      </c>
      <c r="N140">
        <v>1079.0096373112699</v>
      </c>
      <c r="O140">
        <v>323.70289119338099</v>
      </c>
      <c r="P140" t="str">
        <v>E-Wallet</v>
      </c>
      <c r="Q140">
        <v>755.30674611788891</v>
      </c>
      <c r="R140">
        <v>0.30000000000000004</v>
      </c>
      <c r="S140">
        <v>4316.0385492450796</v>
      </c>
    </row>
    <row r="141" spans="4:19" x14ac:dyDescent="0.3">
      <c r="D141" t="str">
        <v>INV1819</v>
      </c>
      <c r="E141" t="str">
        <v>Branch C</v>
      </c>
      <c r="F141" t="str">
        <v>Yangon</v>
      </c>
      <c r="G141">
        <v>1638</v>
      </c>
      <c r="H141" t="str">
        <v>Normal</v>
      </c>
      <c r="I141" t="str">
        <v>Female</v>
      </c>
      <c r="J141" t="str">
        <v>Electronics</v>
      </c>
      <c r="K141" s="1">
        <v>45306</v>
      </c>
      <c r="L141">
        <v>172.764146641727</v>
      </c>
      <c r="M141">
        <v>5</v>
      </c>
      <c r="N141">
        <v>863.82073320863901</v>
      </c>
      <c r="O141">
        <v>259.14621996259098</v>
      </c>
      <c r="P141" t="str">
        <v>E-Wallet</v>
      </c>
      <c r="Q141">
        <v>604.67451324604804</v>
      </c>
      <c r="R141">
        <v>0.29999999999999916</v>
      </c>
      <c r="S141">
        <v>4319.1036660431946</v>
      </c>
    </row>
    <row r="142" spans="4:19" x14ac:dyDescent="0.3">
      <c r="D142" t="str">
        <v>INV1820</v>
      </c>
      <c r="E142" t="str">
        <v>Branch C</v>
      </c>
      <c r="F142" t="str">
        <v>Naypyidaw</v>
      </c>
      <c r="G142">
        <v>1849</v>
      </c>
      <c r="H142" t="str">
        <v>Member</v>
      </c>
      <c r="I142" t="str">
        <v>Male</v>
      </c>
      <c r="J142" t="str">
        <v>Electronics</v>
      </c>
      <c r="K142" s="1">
        <v>45369</v>
      </c>
      <c r="L142">
        <v>81.410806681474</v>
      </c>
      <c r="M142">
        <v>4</v>
      </c>
      <c r="N142">
        <v>325.643226725896</v>
      </c>
      <c r="O142">
        <v>97.692968017768806</v>
      </c>
      <c r="P142" t="str">
        <v>Cash</v>
      </c>
      <c r="Q142">
        <v>227.95025870812719</v>
      </c>
      <c r="R142">
        <v>0.30000000000000004</v>
      </c>
      <c r="S142">
        <v>1302.572906903584</v>
      </c>
    </row>
    <row r="143" spans="4:19" x14ac:dyDescent="0.3">
      <c r="D143" t="str">
        <v>INV1823</v>
      </c>
      <c r="E143" t="str">
        <v>Branch B</v>
      </c>
      <c r="F143" t="str">
        <v>Mandalay</v>
      </c>
      <c r="G143">
        <v>1276</v>
      </c>
      <c r="H143" t="str">
        <v>Member</v>
      </c>
      <c r="I143" t="str">
        <v>Female</v>
      </c>
      <c r="J143" t="str">
        <v>Electronics</v>
      </c>
      <c r="K143" s="1">
        <v>45323</v>
      </c>
      <c r="L143">
        <v>19.215760463624001</v>
      </c>
      <c r="M143">
        <v>5</v>
      </c>
      <c r="N143">
        <v>96.078802318120395</v>
      </c>
      <c r="O143">
        <v>28.823640695436101</v>
      </c>
      <c r="P143" t="str">
        <v>Credit Card</v>
      </c>
      <c r="Q143">
        <v>67.255161622684298</v>
      </c>
      <c r="R143">
        <v>0.29999999999999977</v>
      </c>
      <c r="S143">
        <v>480.39401159060196</v>
      </c>
    </row>
    <row r="144" spans="4:19" x14ac:dyDescent="0.3">
      <c r="D144" t="str">
        <v>INV1824</v>
      </c>
      <c r="E144" t="str">
        <v>Branch B</v>
      </c>
      <c r="F144" t="str">
        <v>Mandalay</v>
      </c>
      <c r="G144">
        <v>2088</v>
      </c>
      <c r="H144" t="str">
        <v>Normal</v>
      </c>
      <c r="I144" t="str">
        <v>Male</v>
      </c>
      <c r="J144" t="str">
        <v>Electronics</v>
      </c>
      <c r="K144" s="1">
        <v>45358</v>
      </c>
      <c r="L144">
        <v>236.794723086489</v>
      </c>
      <c r="M144">
        <v>8</v>
      </c>
      <c r="N144">
        <v>1894.35778469191</v>
      </c>
      <c r="O144">
        <v>568.30733540757501</v>
      </c>
      <c r="P144" t="str">
        <v>Credit Card</v>
      </c>
      <c r="Q144">
        <v>1326.0504492843349</v>
      </c>
      <c r="R144">
        <v>0.30000000000000104</v>
      </c>
      <c r="S144">
        <v>15154.86227753528</v>
      </c>
    </row>
    <row r="145" spans="4:19" x14ac:dyDescent="0.3">
      <c r="D145" t="str">
        <v>INV1828</v>
      </c>
      <c r="E145" t="str">
        <v>Branch B</v>
      </c>
      <c r="F145" t="str">
        <v>Naypyidaw</v>
      </c>
      <c r="G145">
        <v>2161</v>
      </c>
      <c r="H145" t="str">
        <v>Member</v>
      </c>
      <c r="I145" t="str">
        <v>Male</v>
      </c>
      <c r="J145" t="str">
        <v>Electronics</v>
      </c>
      <c r="K145" s="1">
        <v>45365</v>
      </c>
      <c r="L145">
        <v>17.902503465736299</v>
      </c>
      <c r="M145">
        <v>2</v>
      </c>
      <c r="N145">
        <v>35.805006931472697</v>
      </c>
      <c r="O145">
        <v>10.741502079441799</v>
      </c>
      <c r="P145" t="str">
        <v>E-Wallet</v>
      </c>
      <c r="Q145">
        <v>25.063504852030896</v>
      </c>
      <c r="R145">
        <v>0.29999999999999977</v>
      </c>
      <c r="S145">
        <v>71.610013862945394</v>
      </c>
    </row>
    <row r="146" spans="4:19" x14ac:dyDescent="0.3">
      <c r="D146" t="str">
        <v>INV1853</v>
      </c>
      <c r="E146" t="str">
        <v>Branch B</v>
      </c>
      <c r="F146" t="str">
        <v>Mandalay</v>
      </c>
      <c r="G146">
        <v>1122</v>
      </c>
      <c r="H146" t="str">
        <v>Member</v>
      </c>
      <c r="I146" t="str">
        <v>Male</v>
      </c>
      <c r="J146" t="str">
        <v>Electronics</v>
      </c>
      <c r="K146" s="1">
        <v>45350</v>
      </c>
      <c r="L146">
        <v>89.969647287971497</v>
      </c>
      <c r="M146">
        <v>7</v>
      </c>
      <c r="N146">
        <v>629.78753101580003</v>
      </c>
      <c r="O146">
        <v>188.93625930473999</v>
      </c>
      <c r="P146" t="str">
        <v>Credit Card</v>
      </c>
      <c r="Q146">
        <v>440.85127171106001</v>
      </c>
      <c r="R146">
        <v>0.30000000000000004</v>
      </c>
      <c r="S146">
        <v>4408.5127171106005</v>
      </c>
    </row>
    <row r="147" spans="4:19" x14ac:dyDescent="0.3">
      <c r="D147" t="str">
        <v>INV1858</v>
      </c>
      <c r="E147" t="str">
        <v>Branch A</v>
      </c>
      <c r="F147" t="str">
        <v>Yangon</v>
      </c>
      <c r="G147">
        <v>1519</v>
      </c>
      <c r="H147" t="str">
        <v>Normal</v>
      </c>
      <c r="I147" t="str">
        <v>Male</v>
      </c>
      <c r="J147" t="str">
        <v>Electronics</v>
      </c>
      <c r="K147" s="1">
        <v>45345</v>
      </c>
      <c r="L147">
        <v>132.02074851211799</v>
      </c>
      <c r="M147">
        <v>8</v>
      </c>
      <c r="N147">
        <v>1056.1659880969401</v>
      </c>
      <c r="O147">
        <v>316.84979642908399</v>
      </c>
      <c r="P147" t="str">
        <v>E-Wallet</v>
      </c>
      <c r="Q147">
        <v>739.31619166785606</v>
      </c>
      <c r="R147">
        <v>0.30000000000000188</v>
      </c>
      <c r="S147">
        <v>8449.3279047755204</v>
      </c>
    </row>
    <row r="148" spans="4:19" x14ac:dyDescent="0.3">
      <c r="D148" t="str">
        <v>INV1864</v>
      </c>
      <c r="E148" t="str">
        <v>Branch C</v>
      </c>
      <c r="F148" t="str">
        <v>Naypyidaw</v>
      </c>
      <c r="G148">
        <v>2043</v>
      </c>
      <c r="H148" t="str">
        <v>Member</v>
      </c>
      <c r="I148" t="str">
        <v>Male</v>
      </c>
      <c r="J148" t="str">
        <v>Electronics</v>
      </c>
      <c r="K148" s="1">
        <v>45359</v>
      </c>
      <c r="L148">
        <v>189.579319295538</v>
      </c>
      <c r="M148">
        <v>1</v>
      </c>
      <c r="N148">
        <v>189.579319295538</v>
      </c>
      <c r="O148">
        <v>56.873795788661603</v>
      </c>
      <c r="P148" t="str">
        <v>Credit Card</v>
      </c>
      <c r="Q148">
        <v>132.7055235068764</v>
      </c>
      <c r="R148">
        <v>0.30000000000000104</v>
      </c>
      <c r="S148">
        <v>189.579319295538</v>
      </c>
    </row>
    <row r="149" spans="4:19" x14ac:dyDescent="0.3">
      <c r="D149" t="str">
        <v>INV1875</v>
      </c>
      <c r="E149" t="str">
        <v>Branch C</v>
      </c>
      <c r="F149" t="str">
        <v>Yangon</v>
      </c>
      <c r="G149">
        <v>1264</v>
      </c>
      <c r="H149" t="str">
        <v>Normal</v>
      </c>
      <c r="I149" t="str">
        <v>Male</v>
      </c>
      <c r="J149" t="str">
        <v>Electronics</v>
      </c>
      <c r="K149" s="1">
        <v>45343</v>
      </c>
      <c r="L149">
        <v>77.129227814766594</v>
      </c>
      <c r="M149">
        <v>7</v>
      </c>
      <c r="N149">
        <v>539.904594703366</v>
      </c>
      <c r="O149">
        <v>161.971378411009</v>
      </c>
      <c r="P149" t="str">
        <v>E-Wallet</v>
      </c>
      <c r="Q149">
        <v>377.93321629235697</v>
      </c>
      <c r="R149">
        <v>0.29999999999999855</v>
      </c>
      <c r="S149">
        <v>3779.332162923562</v>
      </c>
    </row>
    <row r="150" spans="4:19" x14ac:dyDescent="0.3">
      <c r="D150" t="str">
        <v>INV1876</v>
      </c>
      <c r="E150" t="str">
        <v>Branch C</v>
      </c>
      <c r="F150" t="str">
        <v>Yangon</v>
      </c>
      <c r="G150">
        <v>1981</v>
      </c>
      <c r="H150" t="str">
        <v>Member</v>
      </c>
      <c r="I150" t="str">
        <v>Female</v>
      </c>
      <c r="J150" t="str">
        <v>Electronics</v>
      </c>
      <c r="K150" s="1">
        <v>45357</v>
      </c>
      <c r="L150">
        <v>207.59237383999101</v>
      </c>
      <c r="M150">
        <v>8</v>
      </c>
      <c r="N150">
        <v>1660.7389907199199</v>
      </c>
      <c r="O150">
        <v>498.221697215978</v>
      </c>
      <c r="P150" t="str">
        <v>Credit Card</v>
      </c>
      <c r="Q150">
        <v>1162.5172935039418</v>
      </c>
      <c r="R150">
        <v>0.30000000000000127</v>
      </c>
      <c r="S150">
        <v>13285.911925759359</v>
      </c>
    </row>
    <row r="151" spans="4:19" x14ac:dyDescent="0.3">
      <c r="D151" t="str">
        <v>INV1884</v>
      </c>
      <c r="E151" t="str">
        <v>Branch A</v>
      </c>
      <c r="F151" t="str">
        <v>Mandalay</v>
      </c>
      <c r="G151">
        <v>2153</v>
      </c>
      <c r="H151" t="str">
        <v>Normal</v>
      </c>
      <c r="I151" t="str">
        <v>Female</v>
      </c>
      <c r="J151" t="str">
        <v>Electronics</v>
      </c>
      <c r="K151" s="1">
        <v>45349</v>
      </c>
      <c r="L151">
        <v>227.508239521235</v>
      </c>
      <c r="M151">
        <v>5</v>
      </c>
      <c r="N151">
        <v>1137.54119760617</v>
      </c>
      <c r="O151">
        <v>341.26235928185298</v>
      </c>
      <c r="P151" t="str">
        <v>Credit Card</v>
      </c>
      <c r="Q151">
        <v>796.27883832431712</v>
      </c>
      <c r="R151">
        <v>0.30000000000000165</v>
      </c>
      <c r="S151">
        <v>5687.7059880308498</v>
      </c>
    </row>
    <row r="152" spans="4:19" x14ac:dyDescent="0.3">
      <c r="D152" t="str">
        <v>INV1885</v>
      </c>
      <c r="E152" t="str">
        <v>Branch B</v>
      </c>
      <c r="F152" t="str">
        <v>Yangon</v>
      </c>
      <c r="G152">
        <v>1349</v>
      </c>
      <c r="H152" t="str">
        <v>Normal</v>
      </c>
      <c r="I152" t="str">
        <v>Male</v>
      </c>
      <c r="J152" t="str">
        <v>Electronics</v>
      </c>
      <c r="K152" s="1">
        <v>45303</v>
      </c>
      <c r="L152">
        <v>164.1816968917</v>
      </c>
      <c r="M152">
        <v>9</v>
      </c>
      <c r="N152">
        <v>1477.6352720253001</v>
      </c>
      <c r="O152">
        <v>443.29058160759001</v>
      </c>
      <c r="P152" t="str">
        <v>E-Wallet</v>
      </c>
      <c r="Q152">
        <v>1034.3446904177101</v>
      </c>
      <c r="R152">
        <v>0.29999999999999993</v>
      </c>
      <c r="S152">
        <v>13298.717448227701</v>
      </c>
    </row>
    <row r="153" spans="4:19" x14ac:dyDescent="0.3">
      <c r="D153" t="str">
        <v>INV1887</v>
      </c>
      <c r="E153" t="str">
        <v>Branch A</v>
      </c>
      <c r="F153" t="str">
        <v>Naypyidaw</v>
      </c>
      <c r="G153">
        <v>1911</v>
      </c>
      <c r="H153" t="str">
        <v>Member</v>
      </c>
      <c r="I153" t="str">
        <v>Male</v>
      </c>
      <c r="J153" t="str">
        <v>Electronics</v>
      </c>
      <c r="K153" s="1">
        <v>45360</v>
      </c>
      <c r="L153">
        <v>90.648859369243297</v>
      </c>
      <c r="M153">
        <v>8</v>
      </c>
      <c r="N153">
        <v>725.19087495394695</v>
      </c>
      <c r="O153">
        <v>217.55726248618399</v>
      </c>
      <c r="P153" t="str">
        <v>Credit Card</v>
      </c>
      <c r="Q153">
        <v>507.63361246776299</v>
      </c>
      <c r="R153">
        <v>0.29999999999999982</v>
      </c>
      <c r="S153">
        <v>5801.5269996315756</v>
      </c>
    </row>
    <row r="154" spans="4:19" x14ac:dyDescent="0.3">
      <c r="D154" t="str">
        <v>INV1892</v>
      </c>
      <c r="E154" t="str">
        <v>Branch A</v>
      </c>
      <c r="F154" t="str">
        <v>Naypyidaw</v>
      </c>
      <c r="G154">
        <v>1052</v>
      </c>
      <c r="H154" t="str">
        <v>Normal</v>
      </c>
      <c r="I154" t="str">
        <v>Female</v>
      </c>
      <c r="J154" t="str">
        <v>Electronics</v>
      </c>
      <c r="K154" s="1">
        <v>45348</v>
      </c>
      <c r="L154">
        <v>273.102193863357</v>
      </c>
      <c r="M154">
        <v>6</v>
      </c>
      <c r="N154">
        <v>1638.61316318014</v>
      </c>
      <c r="O154">
        <v>491.58394895404302</v>
      </c>
      <c r="P154" t="str">
        <v>Credit Card</v>
      </c>
      <c r="Q154">
        <v>1147.0292142260969</v>
      </c>
      <c r="R154">
        <v>0.30000000000000066</v>
      </c>
      <c r="S154">
        <v>9831.6789790808398</v>
      </c>
    </row>
    <row r="155" spans="4:19" x14ac:dyDescent="0.3">
      <c r="D155" t="str">
        <v>INV1907</v>
      </c>
      <c r="E155" t="str">
        <v>Branch B</v>
      </c>
      <c r="F155" t="str">
        <v>Yangon</v>
      </c>
      <c r="G155">
        <v>1177</v>
      </c>
      <c r="H155" t="str">
        <v>Normal</v>
      </c>
      <c r="I155" t="str">
        <v>Female</v>
      </c>
      <c r="J155" t="str">
        <v>Electronics</v>
      </c>
      <c r="K155" s="1">
        <v>45347</v>
      </c>
      <c r="L155">
        <v>92.852882272981702</v>
      </c>
      <c r="M155">
        <v>3</v>
      </c>
      <c r="N155">
        <v>278.55864681894502</v>
      </c>
      <c r="O155">
        <v>83.567594045683506</v>
      </c>
      <c r="P155" t="str">
        <v>Credit Card</v>
      </c>
      <c r="Q155">
        <v>194.99105277326152</v>
      </c>
      <c r="R155">
        <v>0.3</v>
      </c>
      <c r="S155">
        <v>835.67594045683506</v>
      </c>
    </row>
    <row r="156" spans="4:19" x14ac:dyDescent="0.3">
      <c r="D156" t="str">
        <v>INV1915</v>
      </c>
      <c r="E156" t="str">
        <v>Branch A</v>
      </c>
      <c r="F156" t="str">
        <v>Mandalay</v>
      </c>
      <c r="G156">
        <v>2091</v>
      </c>
      <c r="H156" t="str">
        <v>Normal</v>
      </c>
      <c r="I156" t="str">
        <v>Male</v>
      </c>
      <c r="J156" t="str">
        <v>Electronics</v>
      </c>
      <c r="K156" s="1">
        <v>45357</v>
      </c>
      <c r="L156">
        <v>200.83594531975399</v>
      </c>
      <c r="M156">
        <v>7</v>
      </c>
      <c r="N156">
        <v>1405.8516172382699</v>
      </c>
      <c r="O156">
        <v>421.75548517148297</v>
      </c>
      <c r="P156" t="str">
        <v>E-Wallet</v>
      </c>
      <c r="Q156">
        <v>984.09613206678694</v>
      </c>
      <c r="R156">
        <v>0.30000000000000143</v>
      </c>
      <c r="S156">
        <v>9840.9613206678896</v>
      </c>
    </row>
    <row r="157" spans="4:19" x14ac:dyDescent="0.3">
      <c r="D157" t="str">
        <v>INV1919</v>
      </c>
      <c r="E157" t="str">
        <v>Branch C</v>
      </c>
      <c r="F157" t="str">
        <v>Yangon</v>
      </c>
      <c r="G157">
        <v>1707</v>
      </c>
      <c r="H157" t="str">
        <v>Member</v>
      </c>
      <c r="I157" t="str">
        <v>Male</v>
      </c>
      <c r="J157" t="str">
        <v>Electronics</v>
      </c>
      <c r="K157" s="1">
        <v>45323</v>
      </c>
      <c r="L157">
        <v>41.208113580358997</v>
      </c>
      <c r="M157">
        <v>3</v>
      </c>
      <c r="N157">
        <v>123.62434074107701</v>
      </c>
      <c r="O157">
        <v>37.087302222323103</v>
      </c>
      <c r="P157" t="str">
        <v>E-Wallet</v>
      </c>
      <c r="Q157">
        <v>86.537038518753903</v>
      </c>
      <c r="R157">
        <v>0.3</v>
      </c>
      <c r="S157">
        <v>370.87302222323103</v>
      </c>
    </row>
    <row r="158" spans="4:19" x14ac:dyDescent="0.3">
      <c r="D158" t="str">
        <v>INV1928</v>
      </c>
      <c r="E158" t="str">
        <v>Branch A</v>
      </c>
      <c r="F158" t="str">
        <v>Yangon</v>
      </c>
      <c r="G158">
        <v>2437</v>
      </c>
      <c r="H158" t="str">
        <v>Normal</v>
      </c>
      <c r="I158" t="str">
        <v>Male</v>
      </c>
      <c r="J158" t="str">
        <v>Electronics</v>
      </c>
      <c r="K158" s="1">
        <v>45308</v>
      </c>
      <c r="L158">
        <v>266.46299363216798</v>
      </c>
      <c r="M158">
        <v>4</v>
      </c>
      <c r="N158">
        <v>1065.8519745286701</v>
      </c>
      <c r="O158">
        <v>319.75559235860197</v>
      </c>
      <c r="P158" t="str">
        <v>Cash</v>
      </c>
      <c r="Q158">
        <v>746.09638217006818</v>
      </c>
      <c r="R158">
        <v>0.30000000000000082</v>
      </c>
      <c r="S158">
        <v>4263.4078981146804</v>
      </c>
    </row>
    <row r="159" spans="4:19" x14ac:dyDescent="0.3">
      <c r="D159" t="str">
        <v>INV1935</v>
      </c>
      <c r="E159" t="str">
        <v>Branch C</v>
      </c>
      <c r="F159" t="str">
        <v>Naypyidaw</v>
      </c>
      <c r="G159">
        <v>2368</v>
      </c>
      <c r="H159" t="str">
        <v>Normal</v>
      </c>
      <c r="I159" t="str">
        <v>Female</v>
      </c>
      <c r="J159" t="str">
        <v>Electronics</v>
      </c>
      <c r="K159" s="1">
        <v>45293</v>
      </c>
      <c r="L159">
        <v>71.157006027428494</v>
      </c>
      <c r="M159">
        <v>5</v>
      </c>
      <c r="N159">
        <v>355.78503013714197</v>
      </c>
      <c r="O159">
        <v>106.735509041142</v>
      </c>
      <c r="P159" t="str">
        <v>E-Wallet</v>
      </c>
      <c r="Q159">
        <v>249.04952109599998</v>
      </c>
      <c r="R159">
        <v>0.29999999999999832</v>
      </c>
      <c r="S159">
        <v>1778.9251506857099</v>
      </c>
    </row>
    <row r="160" spans="4:19" x14ac:dyDescent="0.3">
      <c r="D160" t="str">
        <v>INV1936</v>
      </c>
      <c r="E160" t="str">
        <v>Branch C</v>
      </c>
      <c r="F160" t="str">
        <v>Yangon</v>
      </c>
      <c r="G160">
        <v>1530</v>
      </c>
      <c r="H160" t="str">
        <v>Member</v>
      </c>
      <c r="I160" t="str">
        <v>Female</v>
      </c>
      <c r="J160" t="str">
        <v>Electronics</v>
      </c>
      <c r="K160" s="1">
        <v>45377</v>
      </c>
      <c r="L160">
        <v>258.58558054728002</v>
      </c>
      <c r="M160">
        <v>5</v>
      </c>
      <c r="N160">
        <v>1292.9279027364</v>
      </c>
      <c r="O160">
        <v>387.87837082092102</v>
      </c>
      <c r="P160" t="str">
        <v>E-Wallet</v>
      </c>
      <c r="Q160">
        <v>905.04953191547906</v>
      </c>
      <c r="R160">
        <v>0.30000000000000077</v>
      </c>
      <c r="S160">
        <v>6464.6395136820001</v>
      </c>
    </row>
    <row r="161" spans="4:19" x14ac:dyDescent="0.3">
      <c r="D161" t="str">
        <v>INV1940</v>
      </c>
      <c r="E161" t="str">
        <v>Branch A</v>
      </c>
      <c r="F161" t="str">
        <v>Yangon</v>
      </c>
      <c r="G161">
        <v>1022</v>
      </c>
      <c r="H161" t="str">
        <v>Member</v>
      </c>
      <c r="I161" t="str">
        <v>Female</v>
      </c>
      <c r="J161" t="str">
        <v>Electronics</v>
      </c>
      <c r="K161" s="1">
        <v>45363</v>
      </c>
      <c r="L161">
        <v>120.853153073462</v>
      </c>
      <c r="M161">
        <v>4</v>
      </c>
      <c r="N161">
        <v>483.412612293851</v>
      </c>
      <c r="O161">
        <v>145.02378368815499</v>
      </c>
      <c r="P161" t="str">
        <v>Credit Card</v>
      </c>
      <c r="Q161">
        <v>338.38882860569601</v>
      </c>
      <c r="R161">
        <v>0.29999999999999938</v>
      </c>
      <c r="S161">
        <v>1933.650449175404</v>
      </c>
    </row>
    <row r="162" spans="4:19" x14ac:dyDescent="0.3">
      <c r="D162" t="str">
        <v>INV1941</v>
      </c>
      <c r="E162" t="str">
        <v>Branch B</v>
      </c>
      <c r="F162" t="str">
        <v>Yangon</v>
      </c>
      <c r="G162">
        <v>2070</v>
      </c>
      <c r="H162" t="str">
        <v>Normal</v>
      </c>
      <c r="I162" t="str">
        <v>Male</v>
      </c>
      <c r="J162" t="str">
        <v>Electronics</v>
      </c>
      <c r="K162" s="1">
        <v>45328</v>
      </c>
      <c r="L162">
        <v>189.609601699704</v>
      </c>
      <c r="M162">
        <v>1</v>
      </c>
      <c r="N162">
        <v>189.609601699704</v>
      </c>
      <c r="O162">
        <v>56.882880509911203</v>
      </c>
      <c r="P162" t="str">
        <v>E-Wallet</v>
      </c>
      <c r="Q162">
        <v>132.72672118979278</v>
      </c>
      <c r="R162">
        <v>0.3000000000000001</v>
      </c>
      <c r="S162">
        <v>189.609601699704</v>
      </c>
    </row>
    <row r="163" spans="4:19" x14ac:dyDescent="0.3">
      <c r="D163" t="str">
        <v>INV1944</v>
      </c>
      <c r="E163" t="str">
        <v>Branch C</v>
      </c>
      <c r="F163" t="str">
        <v>Yangon</v>
      </c>
      <c r="G163">
        <v>1143</v>
      </c>
      <c r="H163" t="str">
        <v>Member</v>
      </c>
      <c r="I163" t="str">
        <v>Female</v>
      </c>
      <c r="J163" t="str">
        <v>Electronics</v>
      </c>
      <c r="K163" s="1">
        <v>45324</v>
      </c>
      <c r="L163">
        <v>299.310618452901</v>
      </c>
      <c r="M163">
        <v>7</v>
      </c>
      <c r="N163">
        <v>2095.1743291703101</v>
      </c>
      <c r="O163">
        <v>628.55229875109296</v>
      </c>
      <c r="P163" t="str">
        <v>Credit Card</v>
      </c>
      <c r="Q163">
        <v>1466.622030419217</v>
      </c>
      <c r="R163">
        <v>0.30000000000000004</v>
      </c>
      <c r="S163">
        <v>14666.220304192171</v>
      </c>
    </row>
    <row r="164" spans="4:19" x14ac:dyDescent="0.3">
      <c r="D164" t="str">
        <v>INV1949</v>
      </c>
      <c r="E164" t="str">
        <v>Branch A</v>
      </c>
      <c r="F164" t="str">
        <v>Naypyidaw</v>
      </c>
      <c r="G164">
        <v>1798</v>
      </c>
      <c r="H164" t="str">
        <v>Member</v>
      </c>
      <c r="I164" t="str">
        <v>Male</v>
      </c>
      <c r="J164" t="str">
        <v>Electronics</v>
      </c>
      <c r="K164" s="1">
        <v>45328</v>
      </c>
      <c r="L164">
        <v>67.4476998488839</v>
      </c>
      <c r="M164">
        <v>7</v>
      </c>
      <c r="N164">
        <v>472.13389894218699</v>
      </c>
      <c r="O164">
        <v>141.64016968265599</v>
      </c>
      <c r="P164" t="str">
        <v>E-Wallet</v>
      </c>
      <c r="Q164">
        <v>330.49372925953099</v>
      </c>
      <c r="R164">
        <v>0.29999999999999977</v>
      </c>
      <c r="S164">
        <v>3304.9372925953089</v>
      </c>
    </row>
    <row r="165" spans="4:19" x14ac:dyDescent="0.3">
      <c r="D165" t="str">
        <v>INV1950</v>
      </c>
      <c r="E165" t="str">
        <v>Branch B</v>
      </c>
      <c r="F165" t="str">
        <v>Mandalay</v>
      </c>
      <c r="G165">
        <v>1084</v>
      </c>
      <c r="H165" t="str">
        <v>Normal</v>
      </c>
      <c r="I165" t="str">
        <v>Female</v>
      </c>
      <c r="J165" t="str">
        <v>Electronics</v>
      </c>
      <c r="K165" s="1">
        <v>45355</v>
      </c>
      <c r="L165">
        <v>29.0507137820011</v>
      </c>
      <c r="M165">
        <v>3</v>
      </c>
      <c r="N165">
        <v>87.152141346003503</v>
      </c>
      <c r="O165">
        <v>26.145642403800998</v>
      </c>
      <c r="P165" t="str">
        <v>Credit Card</v>
      </c>
      <c r="Q165">
        <v>61.006498942202505</v>
      </c>
      <c r="R165">
        <v>0.29999999999999938</v>
      </c>
      <c r="S165">
        <v>261.45642403801048</v>
      </c>
    </row>
    <row r="166" spans="4:19" x14ac:dyDescent="0.3">
      <c r="D166" t="str">
        <v>INV1951</v>
      </c>
      <c r="E166" t="str">
        <v>Branch C</v>
      </c>
      <c r="F166" t="str">
        <v>Naypyidaw</v>
      </c>
      <c r="G166">
        <v>1415</v>
      </c>
      <c r="H166" t="str">
        <v>Member</v>
      </c>
      <c r="I166" t="str">
        <v>Male</v>
      </c>
      <c r="J166" t="str">
        <v>Electronics</v>
      </c>
      <c r="K166" s="1">
        <v>45301</v>
      </c>
      <c r="L166">
        <v>267.26460199487201</v>
      </c>
      <c r="M166">
        <v>2</v>
      </c>
      <c r="N166">
        <v>534.52920398974504</v>
      </c>
      <c r="O166">
        <v>160.35876119692301</v>
      </c>
      <c r="P166" t="str">
        <v>Credit Card</v>
      </c>
      <c r="Q166">
        <v>374.17044279282203</v>
      </c>
      <c r="R166">
        <v>0.29999999999999905</v>
      </c>
      <c r="S166">
        <v>1069.0584079794901</v>
      </c>
    </row>
    <row r="167" spans="4:19" x14ac:dyDescent="0.3">
      <c r="D167" t="str">
        <v>INV1954</v>
      </c>
      <c r="E167" t="str">
        <v>Branch C</v>
      </c>
      <c r="F167" t="str">
        <v>Naypyidaw</v>
      </c>
      <c r="G167">
        <v>1455</v>
      </c>
      <c r="H167" t="str">
        <v>Member</v>
      </c>
      <c r="I167" t="str">
        <v>Male</v>
      </c>
      <c r="J167" t="str">
        <v>Electronics</v>
      </c>
      <c r="K167" s="1">
        <v>45339</v>
      </c>
      <c r="L167">
        <v>275.91319397826499</v>
      </c>
      <c r="M167">
        <v>5</v>
      </c>
      <c r="N167">
        <v>1379.56596989132</v>
      </c>
      <c r="O167">
        <v>413.86979096739799</v>
      </c>
      <c r="P167" t="str">
        <v>Credit Card</v>
      </c>
      <c r="Q167">
        <v>965.69617892392205</v>
      </c>
      <c r="R167">
        <v>0.30000000000000143</v>
      </c>
      <c r="S167">
        <v>6897.8298494566006</v>
      </c>
    </row>
    <row r="168" spans="4:19" x14ac:dyDescent="0.3">
      <c r="D168" t="str">
        <v>INV1955</v>
      </c>
      <c r="E168" t="str">
        <v>Branch B</v>
      </c>
      <c r="F168" t="str">
        <v>Mandalay</v>
      </c>
      <c r="G168">
        <v>1826</v>
      </c>
      <c r="H168" t="str">
        <v>Normal</v>
      </c>
      <c r="I168" t="str">
        <v>Female</v>
      </c>
      <c r="J168" t="str">
        <v>Electronics</v>
      </c>
      <c r="K168" s="1">
        <v>45335</v>
      </c>
      <c r="L168">
        <v>235.12423847962401</v>
      </c>
      <c r="M168">
        <v>6</v>
      </c>
      <c r="N168">
        <v>1410.7454308777401</v>
      </c>
      <c r="O168">
        <v>423.22362926332403</v>
      </c>
      <c r="P168" t="str">
        <v>Credit Card</v>
      </c>
      <c r="Q168">
        <v>987.52180161441606</v>
      </c>
      <c r="R168">
        <v>0.30000000000000143</v>
      </c>
      <c r="S168">
        <v>8464.4725852664415</v>
      </c>
    </row>
    <row r="169" spans="4:19" x14ac:dyDescent="0.3">
      <c r="D169" t="str">
        <v>INV1959</v>
      </c>
      <c r="E169" t="str">
        <v>Branch A</v>
      </c>
      <c r="F169" t="str">
        <v>Yangon</v>
      </c>
      <c r="G169">
        <v>2119</v>
      </c>
      <c r="H169" t="str">
        <v>Normal</v>
      </c>
      <c r="I169" t="str">
        <v>Female</v>
      </c>
      <c r="J169" t="str">
        <v>Electronics</v>
      </c>
      <c r="K169" s="1">
        <v>45345</v>
      </c>
      <c r="L169">
        <v>241.19121104784099</v>
      </c>
      <c r="M169">
        <v>1</v>
      </c>
      <c r="N169">
        <v>241.19121104784099</v>
      </c>
      <c r="O169">
        <v>72.357363314352298</v>
      </c>
      <c r="P169" t="str">
        <v>Credit Card</v>
      </c>
      <c r="Q169">
        <v>168.83384773348871</v>
      </c>
      <c r="R169">
        <v>0.29999999999999993</v>
      </c>
      <c r="S169">
        <v>241.19121104784099</v>
      </c>
    </row>
    <row r="170" spans="4:19" x14ac:dyDescent="0.3">
      <c r="D170" t="str">
        <v>INV1963</v>
      </c>
      <c r="E170" t="str">
        <v>Branch C</v>
      </c>
      <c r="F170" t="str">
        <v>Mandalay</v>
      </c>
      <c r="G170">
        <v>2179</v>
      </c>
      <c r="H170" t="str">
        <v>Member</v>
      </c>
      <c r="I170" t="str">
        <v>Female</v>
      </c>
      <c r="J170" t="str">
        <v>Electronics</v>
      </c>
      <c r="K170" s="1">
        <v>45304</v>
      </c>
      <c r="L170">
        <v>243.43948181578301</v>
      </c>
      <c r="M170">
        <v>3</v>
      </c>
      <c r="N170">
        <v>730.318445447351</v>
      </c>
      <c r="O170">
        <v>219.095533634205</v>
      </c>
      <c r="P170" t="str">
        <v>E-Wallet</v>
      </c>
      <c r="Q170">
        <v>511.22291181314597</v>
      </c>
      <c r="R170">
        <v>0.2999999999999996</v>
      </c>
      <c r="S170">
        <v>2190.9553363420528</v>
      </c>
    </row>
    <row r="171" spans="4:19" x14ac:dyDescent="0.3">
      <c r="D171" t="str">
        <v>INV1964</v>
      </c>
      <c r="E171" t="str">
        <v>Branch A</v>
      </c>
      <c r="F171" t="str">
        <v>Naypyidaw</v>
      </c>
      <c r="G171">
        <v>1420</v>
      </c>
      <c r="H171" t="str">
        <v>Member</v>
      </c>
      <c r="I171" t="str">
        <v>Male</v>
      </c>
      <c r="J171" t="str">
        <v>Electronics</v>
      </c>
      <c r="K171" s="1">
        <v>45332</v>
      </c>
      <c r="L171">
        <v>25.193475722509699</v>
      </c>
      <c r="M171">
        <v>2</v>
      </c>
      <c r="N171">
        <v>50.386951445019498</v>
      </c>
      <c r="O171">
        <v>15.1160854335058</v>
      </c>
      <c r="P171" t="str">
        <v>E-Wallet</v>
      </c>
      <c r="Q171">
        <v>35.270866011513696</v>
      </c>
      <c r="R171">
        <v>0.29999999999999905</v>
      </c>
      <c r="S171">
        <v>100.773902890039</v>
      </c>
    </row>
    <row r="172" spans="4:19" x14ac:dyDescent="0.3">
      <c r="D172" t="str">
        <v>INV1967</v>
      </c>
      <c r="E172" t="str">
        <v>Branch C</v>
      </c>
      <c r="F172" t="str">
        <v>Yangon</v>
      </c>
      <c r="G172">
        <v>1438</v>
      </c>
      <c r="H172" t="str">
        <v>Member</v>
      </c>
      <c r="I172" t="str">
        <v>Male</v>
      </c>
      <c r="J172" t="str">
        <v>Electronics</v>
      </c>
      <c r="K172" s="1">
        <v>45360</v>
      </c>
      <c r="L172">
        <v>32.274157910091503</v>
      </c>
      <c r="M172">
        <v>7</v>
      </c>
      <c r="N172">
        <v>225.91910537064101</v>
      </c>
      <c r="O172">
        <v>67.775731611192299</v>
      </c>
      <c r="P172" t="str">
        <v>Credit Card</v>
      </c>
      <c r="Q172">
        <v>158.14337375944871</v>
      </c>
      <c r="R172">
        <v>0.3</v>
      </c>
      <c r="S172">
        <v>1581.433737594487</v>
      </c>
    </row>
    <row r="173" spans="4:19" x14ac:dyDescent="0.3">
      <c r="D173" t="str">
        <v>INV1969</v>
      </c>
      <c r="E173" t="str">
        <v>Branch B</v>
      </c>
      <c r="F173" t="str">
        <v>Mandalay</v>
      </c>
      <c r="G173">
        <v>1381</v>
      </c>
      <c r="H173" t="str">
        <v>Normal</v>
      </c>
      <c r="I173" t="str">
        <v>Male</v>
      </c>
      <c r="J173" t="str">
        <v>Electronics</v>
      </c>
      <c r="K173" s="1">
        <v>45336</v>
      </c>
      <c r="L173">
        <v>250.74378506939601</v>
      </c>
      <c r="M173">
        <v>7</v>
      </c>
      <c r="N173">
        <v>1755.2064954857699</v>
      </c>
      <c r="O173">
        <v>526.56194864573195</v>
      </c>
      <c r="P173" t="str">
        <v>Credit Card</v>
      </c>
      <c r="Q173">
        <v>1228.6445468400379</v>
      </c>
      <c r="R173">
        <v>0.30000000000000054</v>
      </c>
      <c r="S173">
        <v>12286.445468400389</v>
      </c>
    </row>
    <row r="174" spans="4:19" x14ac:dyDescent="0.3">
      <c r="D174" t="str">
        <v>INV1977</v>
      </c>
      <c r="E174" t="str">
        <v>Branch B</v>
      </c>
      <c r="F174" t="str">
        <v>Mandalay</v>
      </c>
      <c r="G174">
        <v>1449</v>
      </c>
      <c r="H174" t="str">
        <v>Normal</v>
      </c>
      <c r="I174" t="str">
        <v>Female</v>
      </c>
      <c r="J174" t="str">
        <v>Electronics</v>
      </c>
      <c r="K174" s="1">
        <v>45333</v>
      </c>
      <c r="L174">
        <v>71.9724610553952</v>
      </c>
      <c r="M174">
        <v>1</v>
      </c>
      <c r="N174">
        <v>71.9724610553952</v>
      </c>
      <c r="O174">
        <v>21.5917383166185</v>
      </c>
      <c r="P174" t="str">
        <v>Credit Card</v>
      </c>
      <c r="Q174">
        <v>50.380722738776697</v>
      </c>
      <c r="R174">
        <v>0.29999999999999921</v>
      </c>
      <c r="S174">
        <v>71.9724610553952</v>
      </c>
    </row>
    <row r="175" spans="4:19" x14ac:dyDescent="0.3">
      <c r="D175" t="str">
        <v>INV1978</v>
      </c>
      <c r="E175" t="str">
        <v>Branch B</v>
      </c>
      <c r="F175" t="str">
        <v>Mandalay</v>
      </c>
      <c r="G175">
        <v>2354</v>
      </c>
      <c r="H175" t="str">
        <v>Normal</v>
      </c>
      <c r="I175" t="str">
        <v>Male</v>
      </c>
      <c r="J175" t="str">
        <v>Electronics</v>
      </c>
      <c r="K175" s="1">
        <v>45338</v>
      </c>
      <c r="L175">
        <v>131.801181483607</v>
      </c>
      <c r="M175">
        <v>7</v>
      </c>
      <c r="N175">
        <v>922.60827038525099</v>
      </c>
      <c r="O175">
        <v>276.78248111557502</v>
      </c>
      <c r="P175" t="str">
        <v>Credit Card</v>
      </c>
      <c r="Q175">
        <v>645.82578926967597</v>
      </c>
      <c r="R175">
        <v>0.29999999999999971</v>
      </c>
      <c r="S175">
        <v>6458.2578926967572</v>
      </c>
    </row>
    <row r="176" spans="4:19" x14ac:dyDescent="0.3">
      <c r="D176" t="str">
        <v>INV1981</v>
      </c>
      <c r="E176" t="str">
        <v>Branch C</v>
      </c>
      <c r="F176" t="str">
        <v>Naypyidaw</v>
      </c>
      <c r="G176">
        <v>2297</v>
      </c>
      <c r="H176" t="str">
        <v>Normal</v>
      </c>
      <c r="I176" t="str">
        <v>Male</v>
      </c>
      <c r="J176" t="str">
        <v>Electronics</v>
      </c>
      <c r="K176" s="1">
        <v>45329</v>
      </c>
      <c r="L176">
        <v>222.03562989192599</v>
      </c>
      <c r="M176">
        <v>3</v>
      </c>
      <c r="N176">
        <v>666.10688967577801</v>
      </c>
      <c r="O176">
        <v>199.832066902733</v>
      </c>
      <c r="P176" t="str">
        <v>Credit Card</v>
      </c>
      <c r="Q176">
        <v>466.274822773045</v>
      </c>
      <c r="R176">
        <v>0.29999999999999938</v>
      </c>
      <c r="S176">
        <v>1998.3206690273341</v>
      </c>
    </row>
    <row r="177" spans="4:19" x14ac:dyDescent="0.3">
      <c r="D177" t="str">
        <v>INV1982</v>
      </c>
      <c r="E177" t="str">
        <v>Branch A</v>
      </c>
      <c r="F177" t="str">
        <v>Naypyidaw</v>
      </c>
      <c r="G177">
        <v>1019</v>
      </c>
      <c r="H177" t="str">
        <v>Normal</v>
      </c>
      <c r="I177" t="str">
        <v>Male</v>
      </c>
      <c r="J177" t="str">
        <v>Electronics</v>
      </c>
      <c r="K177" s="1">
        <v>45360</v>
      </c>
      <c r="L177">
        <v>284.55925020037301</v>
      </c>
      <c r="M177">
        <v>3</v>
      </c>
      <c r="N177">
        <v>853.67775060112103</v>
      </c>
      <c r="O177">
        <v>256.10332518033601</v>
      </c>
      <c r="P177" t="str">
        <v>E-Wallet</v>
      </c>
      <c r="Q177">
        <v>597.57442542078502</v>
      </c>
      <c r="R177">
        <v>0.29999999999999966</v>
      </c>
      <c r="S177">
        <v>2561.0332518033629</v>
      </c>
    </row>
    <row r="178" spans="4:19" x14ac:dyDescent="0.3">
      <c r="D178" t="str">
        <v>INV1988</v>
      </c>
      <c r="E178" t="str">
        <v>Branch B</v>
      </c>
      <c r="F178" t="str">
        <v>Naypyidaw</v>
      </c>
      <c r="G178">
        <v>2127</v>
      </c>
      <c r="H178" t="str">
        <v>Member</v>
      </c>
      <c r="I178" t="str">
        <v>Female</v>
      </c>
      <c r="J178" t="str">
        <v>Electronics</v>
      </c>
      <c r="K178" s="1">
        <v>45310</v>
      </c>
      <c r="L178">
        <v>174.20235456825799</v>
      </c>
      <c r="M178">
        <v>7</v>
      </c>
      <c r="N178">
        <v>1219.41648197781</v>
      </c>
      <c r="O178">
        <v>365.82494459334299</v>
      </c>
      <c r="P178" t="str">
        <v>Cash</v>
      </c>
      <c r="Q178">
        <v>853.59153738446707</v>
      </c>
      <c r="R178">
        <v>0.29999999999999993</v>
      </c>
      <c r="S178">
        <v>8535.9153738446694</v>
      </c>
    </row>
    <row r="179" spans="4:19" x14ac:dyDescent="0.3">
      <c r="D179" t="str">
        <v>INV1995</v>
      </c>
      <c r="E179" t="str">
        <v>Branch B</v>
      </c>
      <c r="F179" t="str">
        <v>Yangon</v>
      </c>
      <c r="G179">
        <v>1018</v>
      </c>
      <c r="H179" t="str">
        <v>Normal</v>
      </c>
      <c r="I179" t="str">
        <v>Male</v>
      </c>
      <c r="J179" t="str">
        <v>Electronics</v>
      </c>
      <c r="K179" s="1">
        <v>45294</v>
      </c>
      <c r="L179">
        <v>158.82309428946499</v>
      </c>
      <c r="M179">
        <v>4</v>
      </c>
      <c r="N179">
        <v>635.29237715786303</v>
      </c>
      <c r="O179">
        <v>190.58771314735901</v>
      </c>
      <c r="P179" t="str">
        <v>Credit Card</v>
      </c>
      <c r="Q179">
        <v>444.70466401050402</v>
      </c>
      <c r="R179">
        <v>0.30000000000000016</v>
      </c>
      <c r="S179">
        <v>2541.1695086314521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4AF7D-A92E-461D-BA3E-BD41DFFCFD65}">
  <sheetPr>
    <outlinePr summaryBelow="0"/>
  </sheetPr>
  <dimension ref="B1:F18"/>
  <sheetViews>
    <sheetView showGridLines="0" workbookViewId="0"/>
  </sheetViews>
  <sheetFormatPr defaultRowHeight="14.4" outlineLevelRow="1" outlineLevelCol="1" x14ac:dyDescent="0.3"/>
  <cols>
    <col min="3" max="3" width="8.33203125" bestFit="1" customWidth="1"/>
    <col min="4" max="6" width="13.88671875" bestFit="1" customWidth="1" outlineLevel="1"/>
  </cols>
  <sheetData>
    <row r="1" spans="2:6" ht="15" thickBot="1" x14ac:dyDescent="0.35"/>
    <row r="2" spans="2:6" ht="15.6" x14ac:dyDescent="0.3">
      <c r="B2" s="7" t="s">
        <v>1055</v>
      </c>
      <c r="C2" s="7"/>
      <c r="D2" s="11"/>
      <c r="E2" s="11"/>
      <c r="F2" s="11"/>
    </row>
    <row r="3" spans="2:6" ht="15.6" collapsed="1" x14ac:dyDescent="0.3">
      <c r="B3" s="6"/>
      <c r="C3" s="6"/>
      <c r="D3" s="12" t="s">
        <v>1057</v>
      </c>
      <c r="E3" s="12" t="s">
        <v>1061</v>
      </c>
      <c r="F3" s="12" t="s">
        <v>1063</v>
      </c>
    </row>
    <row r="4" spans="2:6" ht="40.799999999999997" hidden="1" outlineLevel="1" x14ac:dyDescent="0.3">
      <c r="B4" s="9"/>
      <c r="C4" s="9"/>
      <c r="D4" s="5"/>
      <c r="E4" s="15" t="s">
        <v>1062</v>
      </c>
      <c r="F4" s="15" t="s">
        <v>1062</v>
      </c>
    </row>
    <row r="5" spans="2:6" x14ac:dyDescent="0.3">
      <c r="B5" s="10" t="s">
        <v>1056</v>
      </c>
      <c r="C5" s="10"/>
      <c r="D5" s="8"/>
      <c r="E5" s="8"/>
      <c r="F5" s="8"/>
    </row>
    <row r="6" spans="2:6" outlineLevel="1" x14ac:dyDescent="0.3">
      <c r="B6" s="9"/>
      <c r="C6" s="9" t="s">
        <v>1039</v>
      </c>
      <c r="D6" s="5">
        <v>100</v>
      </c>
      <c r="E6" s="17">
        <v>100</v>
      </c>
      <c r="F6" s="17">
        <v>100</v>
      </c>
    </row>
    <row r="7" spans="2:6" outlineLevel="1" x14ac:dyDescent="0.3">
      <c r="B7" s="9"/>
      <c r="C7" s="9" t="s">
        <v>1040</v>
      </c>
      <c r="D7" s="5">
        <v>110</v>
      </c>
      <c r="E7" s="17">
        <v>300</v>
      </c>
      <c r="F7" s="17">
        <v>500</v>
      </c>
    </row>
    <row r="8" spans="2:6" outlineLevel="1" x14ac:dyDescent="0.3">
      <c r="B8" s="9"/>
      <c r="C8" s="9" t="s">
        <v>11</v>
      </c>
      <c r="D8" s="5">
        <v>10</v>
      </c>
      <c r="E8" s="17">
        <v>200</v>
      </c>
      <c r="F8" s="17">
        <v>400</v>
      </c>
    </row>
    <row r="9" spans="2:6" outlineLevel="1" x14ac:dyDescent="0.3">
      <c r="B9" s="9"/>
      <c r="C9" s="9" t="s">
        <v>1050</v>
      </c>
      <c r="D9" s="16">
        <v>9.0909090909090898E-2</v>
      </c>
      <c r="E9" s="18">
        <v>0.66666666666666696</v>
      </c>
      <c r="F9" s="18">
        <v>0.8</v>
      </c>
    </row>
    <row r="10" spans="2:6" outlineLevel="1" x14ac:dyDescent="0.3">
      <c r="B10" s="9"/>
      <c r="C10" s="9" t="s">
        <v>1051</v>
      </c>
      <c r="D10" s="16">
        <v>0.1</v>
      </c>
      <c r="E10" s="18">
        <v>2</v>
      </c>
      <c r="F10" s="18">
        <v>4</v>
      </c>
    </row>
    <row r="11" spans="2:6" outlineLevel="1" x14ac:dyDescent="0.3">
      <c r="B11" s="9"/>
      <c r="C11" s="9" t="s">
        <v>1043</v>
      </c>
      <c r="D11" s="5">
        <v>50</v>
      </c>
      <c r="E11" s="17">
        <v>50</v>
      </c>
      <c r="F11" s="17">
        <v>50</v>
      </c>
    </row>
    <row r="12" spans="2:6" outlineLevel="1" x14ac:dyDescent="0.3">
      <c r="B12" s="9"/>
      <c r="C12" s="9" t="s">
        <v>1052</v>
      </c>
      <c r="D12" s="5">
        <v>5500</v>
      </c>
      <c r="E12" s="17">
        <v>15000</v>
      </c>
      <c r="F12" s="17">
        <v>25000</v>
      </c>
    </row>
    <row r="13" spans="2:6" outlineLevel="1" x14ac:dyDescent="0.3">
      <c r="B13" s="9"/>
      <c r="C13" s="9" t="s">
        <v>1053</v>
      </c>
      <c r="D13" s="5">
        <v>500</v>
      </c>
      <c r="E13" s="17">
        <v>10000</v>
      </c>
      <c r="F13" s="17">
        <v>20000</v>
      </c>
    </row>
    <row r="14" spans="2:6" outlineLevel="1" x14ac:dyDescent="0.3">
      <c r="B14" s="9"/>
      <c r="C14" s="9" t="s">
        <v>1054</v>
      </c>
      <c r="D14" s="5">
        <v>25</v>
      </c>
      <c r="E14" s="17">
        <v>500</v>
      </c>
      <c r="F14" s="17">
        <v>1000</v>
      </c>
    </row>
    <row r="15" spans="2:6" ht="15" thickBot="1" x14ac:dyDescent="0.35">
      <c r="B15" s="13"/>
      <c r="C15" s="13"/>
      <c r="D15" s="14"/>
      <c r="E15" s="14"/>
      <c r="F15" s="14"/>
    </row>
    <row r="16" spans="2:6" x14ac:dyDescent="0.3">
      <c r="B16" t="s">
        <v>1058</v>
      </c>
    </row>
    <row r="17" spans="2:2" x14ac:dyDescent="0.3">
      <c r="B17" t="s">
        <v>1059</v>
      </c>
    </row>
    <row r="18" spans="2:2" x14ac:dyDescent="0.3">
      <c r="B18" t="s">
        <v>1060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80727-1397-4060-85C1-BDD2E27ABE18}">
  <dimension ref="A1:S12"/>
  <sheetViews>
    <sheetView workbookViewId="0">
      <selection activeCell="Q17" sqref="Q17"/>
    </sheetView>
  </sheetViews>
  <sheetFormatPr defaultRowHeight="14.4" x14ac:dyDescent="0.3"/>
  <cols>
    <col min="1" max="1" width="10" bestFit="1" customWidth="1"/>
    <col min="2" max="2" width="14.109375" bestFit="1" customWidth="1"/>
    <col min="3" max="3" width="16.33203125" bestFit="1" customWidth="1"/>
    <col min="4" max="4" width="10.33203125" bestFit="1" customWidth="1"/>
  </cols>
  <sheetData>
    <row r="1" spans="1:19" x14ac:dyDescent="0.3">
      <c r="B1" t="s">
        <v>1047</v>
      </c>
      <c r="C1" t="s">
        <v>1049</v>
      </c>
      <c r="D1" t="s">
        <v>1048</v>
      </c>
    </row>
    <row r="2" spans="1:19" x14ac:dyDescent="0.3">
      <c r="A2" t="s">
        <v>1039</v>
      </c>
      <c r="B2">
        <v>100</v>
      </c>
      <c r="C2">
        <v>100</v>
      </c>
      <c r="D2">
        <v>100</v>
      </c>
      <c r="F2">
        <f>B9</f>
        <v>500</v>
      </c>
      <c r="G2">
        <v>200</v>
      </c>
      <c r="H2">
        <v>300</v>
      </c>
      <c r="I2">
        <v>400</v>
      </c>
      <c r="J2">
        <v>500</v>
      </c>
      <c r="K2">
        <v>600</v>
      </c>
      <c r="L2" t="s">
        <v>11</v>
      </c>
      <c r="M2">
        <f>B8</f>
        <v>5500</v>
      </c>
      <c r="N2">
        <v>300</v>
      </c>
      <c r="O2">
        <v>400</v>
      </c>
      <c r="P2">
        <v>500</v>
      </c>
      <c r="Q2">
        <v>600</v>
      </c>
      <c r="R2">
        <v>700</v>
      </c>
      <c r="S2">
        <v>800</v>
      </c>
    </row>
    <row r="3" spans="1:19" x14ac:dyDescent="0.3">
      <c r="A3" t="s">
        <v>1040</v>
      </c>
      <c r="B3">
        <v>110</v>
      </c>
      <c r="C3">
        <v>700</v>
      </c>
      <c r="D3">
        <v>300</v>
      </c>
      <c r="F3">
        <v>50</v>
      </c>
      <c r="G3">
        <f t="dataTable" ref="G3:K11" dt2D="1" dtr="1" r1="B7" r2="B4"/>
        <v>500</v>
      </c>
      <c r="H3">
        <v>500</v>
      </c>
      <c r="I3">
        <v>500</v>
      </c>
      <c r="J3">
        <v>500</v>
      </c>
      <c r="K3">
        <v>500</v>
      </c>
      <c r="M3">
        <v>50</v>
      </c>
      <c r="N3">
        <f t="dataTable" ref="N3:S9" dt2D="1" dtr="1" r1="B7" r2="B3"/>
        <v>5500</v>
      </c>
      <c r="O3">
        <v>5500</v>
      </c>
      <c r="P3">
        <v>5500</v>
      </c>
      <c r="Q3">
        <v>5500</v>
      </c>
      <c r="R3">
        <v>5500</v>
      </c>
      <c r="S3">
        <v>5500</v>
      </c>
    </row>
    <row r="4" spans="1:19" x14ac:dyDescent="0.3">
      <c r="A4" t="s">
        <v>11</v>
      </c>
      <c r="B4">
        <v>10</v>
      </c>
      <c r="C4">
        <f>C3-C2</f>
        <v>600</v>
      </c>
      <c r="D4">
        <v>200</v>
      </c>
      <c r="F4">
        <v>60</v>
      </c>
      <c r="G4">
        <v>500</v>
      </c>
      <c r="H4">
        <v>500</v>
      </c>
      <c r="I4">
        <v>500</v>
      </c>
      <c r="J4">
        <v>500</v>
      </c>
      <c r="K4">
        <v>500</v>
      </c>
      <c r="M4">
        <v>60</v>
      </c>
      <c r="N4">
        <v>5500</v>
      </c>
      <c r="O4">
        <v>5500</v>
      </c>
      <c r="P4">
        <v>5500</v>
      </c>
      <c r="Q4">
        <v>5500</v>
      </c>
      <c r="R4">
        <v>5500</v>
      </c>
      <c r="S4">
        <v>5500</v>
      </c>
    </row>
    <row r="5" spans="1:19" x14ac:dyDescent="0.3">
      <c r="A5" t="s">
        <v>1041</v>
      </c>
      <c r="B5" s="2">
        <v>9.0909090909090898E-2</v>
      </c>
      <c r="C5" s="2">
        <f>C4/C3</f>
        <v>0.8571428571428571</v>
      </c>
      <c r="D5" s="2">
        <v>0.66666666666666663</v>
      </c>
      <c r="F5">
        <v>70</v>
      </c>
      <c r="G5">
        <v>500</v>
      </c>
      <c r="H5">
        <v>500</v>
      </c>
      <c r="I5">
        <v>500</v>
      </c>
      <c r="J5">
        <v>500</v>
      </c>
      <c r="K5">
        <v>500</v>
      </c>
      <c r="M5">
        <v>70</v>
      </c>
      <c r="N5">
        <v>5500</v>
      </c>
      <c r="O5">
        <v>5500</v>
      </c>
      <c r="P5">
        <v>5500</v>
      </c>
      <c r="Q5">
        <v>5500</v>
      </c>
      <c r="R5">
        <v>5500</v>
      </c>
      <c r="S5">
        <v>5500</v>
      </c>
    </row>
    <row r="6" spans="1:19" x14ac:dyDescent="0.3">
      <c r="A6" t="s">
        <v>1042</v>
      </c>
      <c r="B6" s="2">
        <v>0.1</v>
      </c>
      <c r="C6" s="2">
        <f>C4/C2</f>
        <v>6</v>
      </c>
      <c r="D6" s="2">
        <v>2</v>
      </c>
      <c r="F6">
        <v>80</v>
      </c>
      <c r="G6">
        <v>500</v>
      </c>
      <c r="H6">
        <v>500</v>
      </c>
      <c r="I6">
        <v>500</v>
      </c>
      <c r="J6">
        <v>500</v>
      </c>
      <c r="K6">
        <v>500</v>
      </c>
      <c r="M6">
        <v>80</v>
      </c>
      <c r="N6">
        <v>5500</v>
      </c>
      <c r="O6">
        <v>5500</v>
      </c>
      <c r="P6">
        <v>5500</v>
      </c>
      <c r="Q6">
        <v>5500</v>
      </c>
      <c r="R6">
        <v>5500</v>
      </c>
      <c r="S6">
        <v>5500</v>
      </c>
    </row>
    <row r="7" spans="1:19" x14ac:dyDescent="0.3">
      <c r="A7" t="s">
        <v>1043</v>
      </c>
      <c r="B7">
        <v>50</v>
      </c>
      <c r="C7">
        <v>50</v>
      </c>
      <c r="D7">
        <v>50</v>
      </c>
      <c r="F7">
        <v>90</v>
      </c>
      <c r="G7">
        <v>500</v>
      </c>
      <c r="H7">
        <v>500</v>
      </c>
      <c r="I7">
        <v>500</v>
      </c>
      <c r="J7">
        <v>500</v>
      </c>
      <c r="K7">
        <v>500</v>
      </c>
      <c r="M7">
        <v>90</v>
      </c>
      <c r="N7">
        <v>5500</v>
      </c>
      <c r="O7">
        <v>5500</v>
      </c>
      <c r="P7">
        <v>5500</v>
      </c>
      <c r="Q7">
        <v>5500</v>
      </c>
      <c r="R7">
        <v>5500</v>
      </c>
      <c r="S7">
        <v>5500</v>
      </c>
    </row>
    <row r="8" spans="1:19" x14ac:dyDescent="0.3">
      <c r="A8" t="s">
        <v>1044</v>
      </c>
      <c r="B8">
        <v>5500</v>
      </c>
      <c r="C8">
        <f>C7*C3</f>
        <v>35000</v>
      </c>
      <c r="D8">
        <v>15000</v>
      </c>
      <c r="F8">
        <v>100</v>
      </c>
      <c r="G8">
        <v>500</v>
      </c>
      <c r="H8">
        <v>500</v>
      </c>
      <c r="I8">
        <v>500</v>
      </c>
      <c r="J8">
        <v>500</v>
      </c>
      <c r="K8">
        <v>500</v>
      </c>
      <c r="M8">
        <v>100</v>
      </c>
      <c r="N8">
        <v>5500</v>
      </c>
      <c r="O8">
        <v>5500</v>
      </c>
      <c r="P8">
        <v>5500</v>
      </c>
      <c r="Q8">
        <v>5500</v>
      </c>
      <c r="R8">
        <v>5500</v>
      </c>
      <c r="S8">
        <v>5500</v>
      </c>
    </row>
    <row r="9" spans="1:19" x14ac:dyDescent="0.3">
      <c r="A9" t="s">
        <v>1045</v>
      </c>
      <c r="B9">
        <v>500</v>
      </c>
      <c r="C9">
        <f>C8*C5</f>
        <v>30000</v>
      </c>
      <c r="D9">
        <v>10000</v>
      </c>
      <c r="F9">
        <v>110</v>
      </c>
      <c r="G9">
        <v>500</v>
      </c>
      <c r="H9">
        <v>500</v>
      </c>
      <c r="I9">
        <v>500</v>
      </c>
      <c r="J9">
        <v>500</v>
      </c>
      <c r="K9">
        <v>500</v>
      </c>
      <c r="M9">
        <v>110</v>
      </c>
      <c r="N9">
        <v>5500</v>
      </c>
      <c r="O9">
        <v>5500</v>
      </c>
      <c r="P9">
        <v>5500</v>
      </c>
      <c r="Q9">
        <v>5500</v>
      </c>
      <c r="R9">
        <v>5500</v>
      </c>
      <c r="S9">
        <v>5500</v>
      </c>
    </row>
    <row r="10" spans="1:19" x14ac:dyDescent="0.3">
      <c r="A10" t="s">
        <v>1046</v>
      </c>
      <c r="B10">
        <v>25</v>
      </c>
      <c r="C10">
        <f>C9*0.05</f>
        <v>1500</v>
      </c>
      <c r="D10">
        <v>500</v>
      </c>
      <c r="F10">
        <v>120</v>
      </c>
      <c r="G10">
        <v>500</v>
      </c>
      <c r="H10">
        <v>500</v>
      </c>
      <c r="I10">
        <v>500</v>
      </c>
      <c r="J10">
        <v>500</v>
      </c>
      <c r="K10">
        <v>500</v>
      </c>
    </row>
    <row r="11" spans="1:19" x14ac:dyDescent="0.3">
      <c r="F11">
        <v>130</v>
      </c>
      <c r="G11">
        <v>500</v>
      </c>
      <c r="H11">
        <v>500</v>
      </c>
      <c r="I11">
        <v>500</v>
      </c>
      <c r="J11">
        <v>500</v>
      </c>
      <c r="K11">
        <v>500</v>
      </c>
    </row>
    <row r="12" spans="1:19" x14ac:dyDescent="0.3">
      <c r="F12" t="s">
        <v>1043</v>
      </c>
    </row>
  </sheetData>
  <scenarios current="1">
    <scenario name="300UnitSellPrice" locked="1" count="9" user="Payal" comment="Created by Payal on 10-12-2025_x000a_Modified by Payal on 10-12-2025">
      <inputCells r="B2" val="100"/>
      <inputCells r="B3" val="300"/>
      <inputCells r="B4" val="200"/>
      <inputCells r="B5" val="0.666666666666667"/>
      <inputCells r="B6" val="2"/>
      <inputCells r="B7" val="50"/>
      <inputCells r="B8" val="15000"/>
      <inputCells r="B9" val="10000"/>
      <inputCells r="B10" val="500"/>
    </scenario>
    <scenario name="500UnitSellPrice" locked="1" count="9" user="Payal" comment="Created by Payal on 10-12-2025_x000a_Modified by Payal on 10-12-2025">
      <inputCells r="B2" val="100"/>
      <inputCells r="B3" val="500"/>
      <inputCells r="B4" val="400"/>
      <inputCells r="B5" val="0.8"/>
      <inputCells r="B6" val="4"/>
      <inputCells r="B7" val="50"/>
      <inputCells r="B8" val="25000"/>
      <inputCells r="B9" val="20000"/>
      <inputCells r="B10" val="1000"/>
    </scenario>
  </scenario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Sheet6</vt:lpstr>
      <vt:lpstr>Supermarket_Sales_Case_Study</vt:lpstr>
      <vt:lpstr>Sheet1</vt:lpstr>
      <vt:lpstr>Scenario Summary 2</vt:lpstr>
      <vt:lpstr>Whatif</vt:lpstr>
      <vt:lpstr>BuyPrice</vt:lpstr>
      <vt:lpstr>Profit</vt:lpstr>
      <vt:lpstr>Sellprice</vt:lpstr>
      <vt:lpstr>UnitSold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Payal Pathre</cp:lastModifiedBy>
  <dcterms:created xsi:type="dcterms:W3CDTF">2025-12-08T13:59:01Z</dcterms:created>
  <dcterms:modified xsi:type="dcterms:W3CDTF">2025-12-10T15:20:55Z</dcterms:modified>
</cp:coreProperties>
</file>